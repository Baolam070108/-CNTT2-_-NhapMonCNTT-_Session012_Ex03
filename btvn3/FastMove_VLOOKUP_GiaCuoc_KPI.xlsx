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Hang" sheetId="1" state="visible" r:id="rId1"/>
    <sheet xmlns:r="http://schemas.openxmlformats.org/officeDocument/2006/relationships" name="GiaCuoc" sheetId="2" state="visible" r:id="rId2"/>
    <sheet xmlns:r="http://schemas.openxmlformats.org/officeDocument/2006/relationships" name="KPI" sheetId="3" state="visible" r:id="rId3"/>
  </sheets>
  <definedNames>
    <definedName name="_xlnm._FilterDatabase" localSheetId="0" hidden="1">'DonHang'!$A$1:$G$501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#,##0 &quot;đ&quot;"/>
    <numFmt numFmtId="167" formatCode="dd/mm/yyyy"/>
    <numFmt numFmtId="168" formatCode="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5EEF"/>
      </patternFill>
    </fill>
    <fill>
      <patternFill patternType="solid">
        <fgColor rgb="0012A594"/>
      </patternFill>
    </fill>
    <fill>
      <patternFill patternType="solid">
        <fgColor rgb="0012305A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center"/>
    </xf>
    <xf numFmtId="166" fontId="0" fillId="0" borderId="0" pivotButton="0" quotePrefix="0" xfId="0"/>
    <xf numFmtId="0" fontId="1" fillId="4" borderId="0" pivotButton="0" quotePrefix="0" xfId="0"/>
    <xf numFmtId="168" fontId="0" fillId="5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8" fontId="0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Giao đúng hẹn còn thấp hơn mục tiêu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'KPI'!$B$2:$B$6</f>
            </numRef>
          </val>
        </ser>
        <ser>
          <idx val="1"/>
          <order val="1"/>
          <tx>
            <strRef>
              <f>'KPI'!C1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'KPI'!$A$2:$A$6</f>
            </numRef>
          </cat>
          <val>
            <numRef>
              <f>'KPI'!$C$2:$C$6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Chỉ số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onHangTable" displayName="DonHangTable" ref="A1:G501" headerRowCount="1">
  <autoFilter ref="A1:G501"/>
  <tableColumns count="7">
    <tableColumn id="1" name="Mã vận đơn"/>
    <tableColumn id="2" name="Mã dịch vụ"/>
    <tableColumn id="3" name="Khu vực"/>
    <tableColumn id="4" name="Khối lượng (kg)"/>
    <tableColumn id="5" name="Giá cước"/>
    <tableColumn id="6" name="Trạng thái tra cứu"/>
    <tableColumn id="7" name="Ngày tạo"/>
  </tableColumns>
  <tableStyleInfo name="TableStyleMedium2" showRowStripes="1"/>
</table>
</file>

<file path=xl/tables/table2.xml><?xml version="1.0" encoding="utf-8"?>
<table xmlns="http://schemas.openxmlformats.org/spreadsheetml/2006/main" id="2" name="GiaCuocTable" displayName="GiaCuocTable" ref="A1:C6" headerRowCount="1">
  <autoFilter ref="A1:C6"/>
  <tableColumns count="3">
    <tableColumn id="1" name="Mã dịch vụ"/>
    <tableColumn id="2" name="Tên dịch vụ"/>
    <tableColumn id="3" name="Giá cước cơ bản (đ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2" customWidth="1" min="5" max="5"/>
    <col width="22" customWidth="1" min="6" max="6"/>
    <col width="16" customWidth="1" min="7" max="7"/>
  </cols>
  <sheetData>
    <row r="1">
      <c r="A1" s="1" t="inlineStr">
        <is>
          <t>Mã vận đơn</t>
        </is>
      </c>
      <c r="B1" s="1" t="inlineStr">
        <is>
          <t>Mã dịch vụ</t>
        </is>
      </c>
      <c r="C1" s="1" t="inlineStr">
        <is>
          <t>Khu vực</t>
        </is>
      </c>
      <c r="D1" s="1" t="inlineStr">
        <is>
          <t>Khối lượng (kg)</t>
        </is>
      </c>
      <c r="E1" s="1" t="inlineStr">
        <is>
          <t>Giá cước</t>
        </is>
      </c>
      <c r="F1" s="1" t="inlineStr">
        <is>
          <t>Trạng thái tra cứu</t>
        </is>
      </c>
      <c r="G1" s="1" t="inlineStr">
        <is>
          <t>Ngày tạo</t>
        </is>
      </c>
    </row>
    <row r="2">
      <c r="A2" s="2" t="inlineStr">
        <is>
          <t>FM000001</t>
        </is>
      </c>
      <c r="B2" s="2" t="inlineStr">
        <is>
          <t>FM-NOIBAI</t>
        </is>
      </c>
      <c r="C2" s="2" t="inlineStr">
        <is>
          <t>Nội thành</t>
        </is>
      </c>
      <c r="D2" s="3" t="n">
        <v>1.3</v>
      </c>
      <c r="E2" s="4">
        <f>IFERROR(VLOOKUP(B2,GiaCuoc!$A$2:$C$6,3,FALSE),"Kiểm tra mã dịch vụ")</f>
        <v/>
      </c>
      <c r="F2" s="2">
        <f>IF(E2="Kiểm tra mã dịch vụ","Cần kiểm tra","Đã tra cước")</f>
        <v/>
      </c>
      <c r="G2" s="5" t="n">
        <v>46320</v>
      </c>
    </row>
    <row r="3">
      <c r="A3" s="2" t="inlineStr">
        <is>
          <t>FM000002</t>
        </is>
      </c>
      <c r="B3" s="2" t="inlineStr">
        <is>
          <t>FM-NGOAITHANH</t>
        </is>
      </c>
      <c r="C3" s="2" t="inlineStr">
        <is>
          <t>Ngoại thành</t>
        </is>
      </c>
      <c r="D3" s="3" t="n">
        <v>2.6</v>
      </c>
      <c r="E3" s="4">
        <f>IFERROR(VLOOKUP(B3,GiaCuoc!$A$2:$C$6,3,FALSE),"Kiểm tra mã dịch vụ")</f>
        <v/>
      </c>
      <c r="F3" s="2">
        <f>IF(E3="Kiểm tra mã dịch vụ","Cần kiểm tra","Đã tra cước")</f>
        <v/>
      </c>
      <c r="G3" s="5" t="n">
        <v>46319</v>
      </c>
    </row>
    <row r="4">
      <c r="A4" s="2" t="inlineStr">
        <is>
          <t>FM000003</t>
        </is>
      </c>
      <c r="B4" s="2" t="inlineStr">
        <is>
          <t>FM-LIENMIEN</t>
        </is>
      </c>
      <c r="C4" s="2" t="inlineStr">
        <is>
          <t>Liên miền</t>
        </is>
      </c>
      <c r="D4" s="3" t="n">
        <v>3.9</v>
      </c>
      <c r="E4" s="4">
        <f>IFERROR(VLOOKUP(B4,GiaCuoc!$A$2:$C$6,3,FALSE),"Kiểm tra mã dịch vụ")</f>
        <v/>
      </c>
      <c r="F4" s="2">
        <f>IF(E4="Kiểm tra mã dịch vụ","Cần kiểm tra","Đã tra cước")</f>
        <v/>
      </c>
      <c r="G4" s="5" t="n">
        <v>46318</v>
      </c>
    </row>
    <row r="5">
      <c r="A5" s="2" t="inlineStr">
        <is>
          <t>FM000004</t>
        </is>
      </c>
      <c r="B5" s="2" t="inlineStr">
        <is>
          <t>FM-HOATOC</t>
        </is>
      </c>
      <c r="C5" s="2" t="inlineStr">
        <is>
          <t>Hỏa tốc</t>
        </is>
      </c>
      <c r="D5" s="3" t="n">
        <v>5.2</v>
      </c>
      <c r="E5" s="4">
        <f>IFERROR(VLOOKUP(B5,GiaCuoc!$A$2:$C$6,3,FALSE),"Kiểm tra mã dịch vụ")</f>
        <v/>
      </c>
      <c r="F5" s="2">
        <f>IF(E5="Kiểm tra mã dịch vụ","Cần kiểm tra","Đã tra cước")</f>
        <v/>
      </c>
      <c r="G5" s="5" t="n">
        <v>46317</v>
      </c>
    </row>
    <row r="6">
      <c r="A6" s="2" t="inlineStr">
        <is>
          <t>FM000005</t>
        </is>
      </c>
      <c r="B6" s="2" t="inlineStr">
        <is>
          <t>FM-TIETKIEM</t>
        </is>
      </c>
      <c r="C6" s="2" t="inlineStr">
        <is>
          <t>Tiết kiệm</t>
        </is>
      </c>
      <c r="D6" s="3" t="n">
        <v>6.5</v>
      </c>
      <c r="E6" s="4">
        <f>IFERROR(VLOOKUP(B6,GiaCuoc!$A$2:$C$6,3,FALSE),"Kiểm tra mã dịch vụ")</f>
        <v/>
      </c>
      <c r="F6" s="2">
        <f>IF(E6="Kiểm tra mã dịch vụ","Cần kiểm tra","Đã tra cước")</f>
        <v/>
      </c>
      <c r="G6" s="5" t="n">
        <v>46316</v>
      </c>
    </row>
    <row r="7">
      <c r="A7" s="2" t="inlineStr">
        <is>
          <t>FM000006</t>
        </is>
      </c>
      <c r="B7" s="2" t="inlineStr">
        <is>
          <t>FM-NOIBAI</t>
        </is>
      </c>
      <c r="C7" s="2" t="inlineStr">
        <is>
          <t>Nội thành</t>
        </is>
      </c>
      <c r="D7" s="3" t="n">
        <v>7.8</v>
      </c>
      <c r="E7" s="4">
        <f>IFERROR(VLOOKUP(B7,GiaCuoc!$A$2:$C$6,3,FALSE),"Kiểm tra mã dịch vụ")</f>
        <v/>
      </c>
      <c r="F7" s="2">
        <f>IF(E7="Kiểm tra mã dịch vụ","Cần kiểm tra","Đã tra cước")</f>
        <v/>
      </c>
      <c r="G7" s="5" t="n">
        <v>46315</v>
      </c>
    </row>
    <row r="8">
      <c r="A8" s="2" t="inlineStr">
        <is>
          <t>FM000007</t>
        </is>
      </c>
      <c r="B8" s="2" t="inlineStr">
        <is>
          <t>FM-NGOAITHANH</t>
        </is>
      </c>
      <c r="C8" s="2" t="inlineStr">
        <is>
          <t>Ngoại thành</t>
        </is>
      </c>
      <c r="D8" s="3" t="n">
        <v>9.1</v>
      </c>
      <c r="E8" s="4">
        <f>IFERROR(VLOOKUP(B8,GiaCuoc!$A$2:$C$6,3,FALSE),"Kiểm tra mã dịch vụ")</f>
        <v/>
      </c>
      <c r="F8" s="2">
        <f>IF(E8="Kiểm tra mã dịch vụ","Cần kiểm tra","Đã tra cước")</f>
        <v/>
      </c>
      <c r="G8" s="5" t="n">
        <v>46314</v>
      </c>
    </row>
    <row r="9">
      <c r="A9" s="2" t="inlineStr">
        <is>
          <t>FM000008</t>
        </is>
      </c>
      <c r="B9" s="2" t="inlineStr">
        <is>
          <t>FM-LIENMIEN</t>
        </is>
      </c>
      <c r="C9" s="2" t="inlineStr">
        <is>
          <t>Liên miền</t>
        </is>
      </c>
      <c r="D9" s="3" t="n">
        <v>10.4</v>
      </c>
      <c r="E9" s="4">
        <f>IFERROR(VLOOKUP(B9,GiaCuoc!$A$2:$C$6,3,FALSE),"Kiểm tra mã dịch vụ")</f>
        <v/>
      </c>
      <c r="F9" s="2">
        <f>IF(E9="Kiểm tra mã dịch vụ","Cần kiểm tra","Đã tra cước")</f>
        <v/>
      </c>
      <c r="G9" s="5" t="n">
        <v>46313</v>
      </c>
    </row>
    <row r="10">
      <c r="A10" s="2" t="inlineStr">
        <is>
          <t>FM000009</t>
        </is>
      </c>
      <c r="B10" s="2" t="inlineStr">
        <is>
          <t>FM-HOATOC</t>
        </is>
      </c>
      <c r="C10" s="2" t="inlineStr">
        <is>
          <t>Hỏa tốc</t>
        </is>
      </c>
      <c r="D10" s="3" t="n">
        <v>11.7</v>
      </c>
      <c r="E10" s="4">
        <f>IFERROR(VLOOKUP(B10,GiaCuoc!$A$2:$C$6,3,FALSE),"Kiểm tra mã dịch vụ")</f>
        <v/>
      </c>
      <c r="F10" s="2">
        <f>IF(E10="Kiểm tra mã dịch vụ","Cần kiểm tra","Đã tra cước")</f>
        <v/>
      </c>
      <c r="G10" s="5" t="n">
        <v>46312</v>
      </c>
    </row>
    <row r="11">
      <c r="A11" s="2" t="inlineStr">
        <is>
          <t>FM000010</t>
        </is>
      </c>
      <c r="B11" s="2" t="inlineStr">
        <is>
          <t>FM-TIETKIEM</t>
        </is>
      </c>
      <c r="C11" s="2" t="inlineStr">
        <is>
          <t>Tiết kiệm</t>
        </is>
      </c>
      <c r="D11" s="3" t="n">
        <v>13</v>
      </c>
      <c r="E11" s="4">
        <f>IFERROR(VLOOKUP(B11,GiaCuoc!$A$2:$C$6,3,FALSE),"Kiểm tra mã dịch vụ")</f>
        <v/>
      </c>
      <c r="F11" s="2">
        <f>IF(E11="Kiểm tra mã dịch vụ","Cần kiểm tra","Đã tra cước")</f>
        <v/>
      </c>
      <c r="G11" s="5" t="n">
        <v>46311</v>
      </c>
    </row>
    <row r="12">
      <c r="A12" s="2" t="inlineStr">
        <is>
          <t>FM000011</t>
        </is>
      </c>
      <c r="B12" s="2" t="inlineStr">
        <is>
          <t>FM-NOIBAI</t>
        </is>
      </c>
      <c r="C12" s="2" t="inlineStr">
        <is>
          <t>Nội thành</t>
        </is>
      </c>
      <c r="D12" s="3" t="n">
        <v>14.3</v>
      </c>
      <c r="E12" s="4">
        <f>IFERROR(VLOOKUP(B12,GiaCuoc!$A$2:$C$6,3,FALSE),"Kiểm tra mã dịch vụ")</f>
        <v/>
      </c>
      <c r="F12" s="2">
        <f>IF(E12="Kiểm tra mã dịch vụ","Cần kiểm tra","Đã tra cước")</f>
        <v/>
      </c>
      <c r="G12" s="5" t="n">
        <v>46310</v>
      </c>
    </row>
    <row r="13">
      <c r="A13" s="2" t="inlineStr">
        <is>
          <t>FM000012</t>
        </is>
      </c>
      <c r="B13" s="2" t="inlineStr">
        <is>
          <t>FM-NGOAITHANH</t>
        </is>
      </c>
      <c r="C13" s="2" t="inlineStr">
        <is>
          <t>Ngoại thành</t>
        </is>
      </c>
      <c r="D13" s="3" t="n">
        <v>15.6</v>
      </c>
      <c r="E13" s="4">
        <f>IFERROR(VLOOKUP(B13,GiaCuoc!$A$2:$C$6,3,FALSE),"Kiểm tra mã dịch vụ")</f>
        <v/>
      </c>
      <c r="F13" s="2">
        <f>IF(E13="Kiểm tra mã dịch vụ","Cần kiểm tra","Đã tra cước")</f>
        <v/>
      </c>
      <c r="G13" s="5" t="n">
        <v>46309</v>
      </c>
    </row>
    <row r="14">
      <c r="A14" s="2" t="inlineStr">
        <is>
          <t>FM000013</t>
        </is>
      </c>
      <c r="B14" s="2" t="inlineStr">
        <is>
          <t>FM-LIENMIEN</t>
        </is>
      </c>
      <c r="C14" s="2" t="inlineStr">
        <is>
          <t>Liên miền</t>
        </is>
      </c>
      <c r="D14" s="3" t="n">
        <v>16.9</v>
      </c>
      <c r="E14" s="4">
        <f>IFERROR(VLOOKUP(B14,GiaCuoc!$A$2:$C$6,3,FALSE),"Kiểm tra mã dịch vụ")</f>
        <v/>
      </c>
      <c r="F14" s="2">
        <f>IF(E14="Kiểm tra mã dịch vụ","Cần kiểm tra","Đã tra cước")</f>
        <v/>
      </c>
      <c r="G14" s="5" t="n">
        <v>46308</v>
      </c>
    </row>
    <row r="15">
      <c r="A15" s="2" t="inlineStr">
        <is>
          <t>FM000014</t>
        </is>
      </c>
      <c r="B15" s="2" t="inlineStr">
        <is>
          <t>FM-HOATOC</t>
        </is>
      </c>
      <c r="C15" s="2" t="inlineStr">
        <is>
          <t>Hỏa tốc</t>
        </is>
      </c>
      <c r="D15" s="3" t="n">
        <v>18.2</v>
      </c>
      <c r="E15" s="4">
        <f>IFERROR(VLOOKUP(B15,GiaCuoc!$A$2:$C$6,3,FALSE),"Kiểm tra mã dịch vụ")</f>
        <v/>
      </c>
      <c r="F15" s="2">
        <f>IF(E15="Kiểm tra mã dịch vụ","Cần kiểm tra","Đã tra cước")</f>
        <v/>
      </c>
      <c r="G15" s="5" t="n">
        <v>46307</v>
      </c>
    </row>
    <row r="16">
      <c r="A16" s="2" t="inlineStr">
        <is>
          <t>FM000015</t>
        </is>
      </c>
      <c r="B16" s="2" t="inlineStr">
        <is>
          <t>FM-TIETKIEM</t>
        </is>
      </c>
      <c r="C16" s="2" t="inlineStr">
        <is>
          <t>Tiết kiệm</t>
        </is>
      </c>
      <c r="D16" s="3" t="n">
        <v>19.5</v>
      </c>
      <c r="E16" s="4">
        <f>IFERROR(VLOOKUP(B16,GiaCuoc!$A$2:$C$6,3,FALSE),"Kiểm tra mã dịch vụ")</f>
        <v/>
      </c>
      <c r="F16" s="2">
        <f>IF(E16="Kiểm tra mã dịch vụ","Cần kiểm tra","Đã tra cước")</f>
        <v/>
      </c>
      <c r="G16" s="5" t="n">
        <v>46306</v>
      </c>
    </row>
    <row r="17">
      <c r="A17" s="2" t="inlineStr">
        <is>
          <t>FM000016</t>
        </is>
      </c>
      <c r="B17" s="2" t="inlineStr">
        <is>
          <t>FM-NOIBAI</t>
        </is>
      </c>
      <c r="C17" s="2" t="inlineStr">
        <is>
          <t>Nội thành</t>
        </is>
      </c>
      <c r="D17" s="3" t="n">
        <v>20.8</v>
      </c>
      <c r="E17" s="4">
        <f>IFERROR(VLOOKUP(B17,GiaCuoc!$A$2:$C$6,3,FALSE),"Kiểm tra mã dịch vụ")</f>
        <v/>
      </c>
      <c r="F17" s="2">
        <f>IF(E17="Kiểm tra mã dịch vụ","Cần kiểm tra","Đã tra cước")</f>
        <v/>
      </c>
      <c r="G17" s="5" t="n">
        <v>46305</v>
      </c>
    </row>
    <row r="18">
      <c r="A18" s="2" t="inlineStr">
        <is>
          <t xml:space="preserve"> FM000017#</t>
        </is>
      </c>
      <c r="B18" s="2" t="inlineStr">
        <is>
          <t>FM-NGOAITHANH</t>
        </is>
      </c>
      <c r="C18" s="2" t="inlineStr">
        <is>
          <t>Ngoại thành</t>
        </is>
      </c>
      <c r="D18" s="3" t="n">
        <v>22.1</v>
      </c>
      <c r="E18" s="4">
        <f>IFERROR(VLOOKUP(B18,GiaCuoc!$A$2:$C$6,3,FALSE),"Kiểm tra mã dịch vụ")</f>
        <v/>
      </c>
      <c r="F18" s="2">
        <f>IF(E18="Kiểm tra mã dịch vụ","Cần kiểm tra","Đã tra cước")</f>
        <v/>
      </c>
      <c r="G18" s="5" t="n">
        <v>46304</v>
      </c>
    </row>
    <row r="19">
      <c r="A19" s="2" t="inlineStr">
        <is>
          <t>FM000018</t>
        </is>
      </c>
      <c r="B19" s="2" t="inlineStr">
        <is>
          <t>FM-LIENMIEN</t>
        </is>
      </c>
      <c r="C19" s="2" t="inlineStr">
        <is>
          <t>Liên miền</t>
        </is>
      </c>
      <c r="D19" s="3" t="n">
        <v>23.4</v>
      </c>
      <c r="E19" s="4">
        <f>IFERROR(VLOOKUP(B19,GiaCuoc!$A$2:$C$6,3,FALSE),"Kiểm tra mã dịch vụ")</f>
        <v/>
      </c>
      <c r="F19" s="2">
        <f>IF(E19="Kiểm tra mã dịch vụ","Cần kiểm tra","Đã tra cước")</f>
        <v/>
      </c>
      <c r="G19" s="5" t="n">
        <v>46303</v>
      </c>
    </row>
    <row r="20">
      <c r="A20" s="2" t="inlineStr">
        <is>
          <t>FM000019</t>
        </is>
      </c>
      <c r="B20" s="2" t="inlineStr">
        <is>
          <t>FM-HOATOC</t>
        </is>
      </c>
      <c r="C20" s="2" t="inlineStr">
        <is>
          <t>Hỏa tốc</t>
        </is>
      </c>
      <c r="D20" s="3" t="n">
        <v>24.7</v>
      </c>
      <c r="E20" s="4">
        <f>IFERROR(VLOOKUP(B20,GiaCuoc!$A$2:$C$6,3,FALSE),"Kiểm tra mã dịch vụ")</f>
        <v/>
      </c>
      <c r="F20" s="2">
        <f>IF(E20="Kiểm tra mã dịch vụ","Cần kiểm tra","Đã tra cước")</f>
        <v/>
      </c>
      <c r="G20" s="5" t="n">
        <v>46302</v>
      </c>
    </row>
    <row r="21">
      <c r="A21" s="2" t="inlineStr">
        <is>
          <t>FM000020</t>
        </is>
      </c>
      <c r="B21" s="2" t="inlineStr">
        <is>
          <t>FM-TIETKIEM</t>
        </is>
      </c>
      <c r="C21" s="2" t="inlineStr">
        <is>
          <t>Tiết kiệm</t>
        </is>
      </c>
      <c r="D21" s="3" t="n">
        <v>1</v>
      </c>
      <c r="E21" s="4">
        <f>IFERROR(VLOOKUP(B21,GiaCuoc!$A$2:$C$6,3,FALSE),"Kiểm tra mã dịch vụ")</f>
        <v/>
      </c>
      <c r="F21" s="2">
        <f>IF(E21="Kiểm tra mã dịch vụ","Cần kiểm tra","Đã tra cước")</f>
        <v/>
      </c>
      <c r="G21" s="5" t="n">
        <v>46301</v>
      </c>
    </row>
    <row r="22">
      <c r="A22" s="2" t="inlineStr">
        <is>
          <t>FM000021</t>
        </is>
      </c>
      <c r="B22" s="2" t="inlineStr">
        <is>
          <t>FM-NOIBAI</t>
        </is>
      </c>
      <c r="C22" s="2" t="inlineStr">
        <is>
          <t>Nội thành</t>
        </is>
      </c>
      <c r="D22" s="3" t="n">
        <v>2.3</v>
      </c>
      <c r="E22" s="4">
        <f>IFERROR(VLOOKUP(B22,GiaCuoc!$A$2:$C$6,3,FALSE),"Kiểm tra mã dịch vụ")</f>
        <v/>
      </c>
      <c r="F22" s="2">
        <f>IF(E22="Kiểm tra mã dịch vụ","Cần kiểm tra","Đã tra cước")</f>
        <v/>
      </c>
      <c r="G22" s="5" t="n">
        <v>46300</v>
      </c>
    </row>
    <row r="23">
      <c r="A23" s="2" t="inlineStr">
        <is>
          <t>FM000022</t>
        </is>
      </c>
      <c r="B23" s="2" t="inlineStr">
        <is>
          <t>FM-NGOAITHANH</t>
        </is>
      </c>
      <c r="C23" s="2" t="inlineStr">
        <is>
          <t>Ngoại thành</t>
        </is>
      </c>
      <c r="D23" s="3" t="n">
        <v>3.6</v>
      </c>
      <c r="E23" s="4">
        <f>IFERROR(VLOOKUP(B23,GiaCuoc!$A$2:$C$6,3,FALSE),"Kiểm tra mã dịch vụ")</f>
        <v/>
      </c>
      <c r="F23" s="2">
        <f>IF(E23="Kiểm tra mã dịch vụ","Cần kiểm tra","Đã tra cước")</f>
        <v/>
      </c>
      <c r="G23" s="5" t="n">
        <v>46299</v>
      </c>
    </row>
    <row r="24">
      <c r="A24" s="2" t="inlineStr">
        <is>
          <t>FM000023</t>
        </is>
      </c>
      <c r="B24" s="2" t="inlineStr">
        <is>
          <t>FM-LIENMIEN</t>
        </is>
      </c>
      <c r="C24" s="2" t="inlineStr">
        <is>
          <t>Liên miền</t>
        </is>
      </c>
      <c r="D24" s="3" t="n">
        <v>4.9</v>
      </c>
      <c r="E24" s="4">
        <f>IFERROR(VLOOKUP(B24,GiaCuoc!$A$2:$C$6,3,FALSE),"Kiểm tra mã dịch vụ")</f>
        <v/>
      </c>
      <c r="F24" s="2">
        <f>IF(E24="Kiểm tra mã dịch vụ","Cần kiểm tra","Đã tra cước")</f>
        <v/>
      </c>
      <c r="G24" s="5" t="n">
        <v>46298</v>
      </c>
    </row>
    <row r="25">
      <c r="A25" s="2" t="inlineStr">
        <is>
          <t>FM000024</t>
        </is>
      </c>
      <c r="B25" s="2" t="inlineStr">
        <is>
          <t>FM-HOATOC</t>
        </is>
      </c>
      <c r="C25" s="2" t="inlineStr">
        <is>
          <t>Hỏa tốc</t>
        </is>
      </c>
      <c r="D25" s="3" t="n">
        <v>6.2</v>
      </c>
      <c r="E25" s="4">
        <f>IFERROR(VLOOKUP(B25,GiaCuoc!$A$2:$C$6,3,FALSE),"Kiểm tra mã dịch vụ")</f>
        <v/>
      </c>
      <c r="F25" s="2">
        <f>IF(E25="Kiểm tra mã dịch vụ","Cần kiểm tra","Đã tra cước")</f>
        <v/>
      </c>
      <c r="G25" s="5" t="n">
        <v>46297</v>
      </c>
    </row>
    <row r="26">
      <c r="A26" s="2" t="inlineStr">
        <is>
          <t>FM000025</t>
        </is>
      </c>
      <c r="B26" s="2" t="inlineStr">
        <is>
          <t>FM-TIETKIEM</t>
        </is>
      </c>
      <c r="C26" s="2" t="inlineStr">
        <is>
          <t>Tiết kiệm</t>
        </is>
      </c>
      <c r="D26" s="3" t="n">
        <v>7.5</v>
      </c>
      <c r="E26" s="4">
        <f>IFERROR(VLOOKUP(B26,GiaCuoc!$A$2:$C$6,3,FALSE),"Kiểm tra mã dịch vụ")</f>
        <v/>
      </c>
      <c r="F26" s="2">
        <f>IF(E26="Kiểm tra mã dịch vụ","Cần kiểm tra","Đã tra cước")</f>
        <v/>
      </c>
      <c r="G26" s="5" t="n">
        <v>46296</v>
      </c>
    </row>
    <row r="27">
      <c r="A27" s="2" t="inlineStr">
        <is>
          <t>FM000026</t>
        </is>
      </c>
      <c r="B27" s="2" t="inlineStr">
        <is>
          <t>FM-NOIBAI</t>
        </is>
      </c>
      <c r="C27" s="2" t="inlineStr">
        <is>
          <t>Nội thành</t>
        </is>
      </c>
      <c r="D27" s="3" t="n">
        <v>8.800000000000001</v>
      </c>
      <c r="E27" s="4">
        <f>IFERROR(VLOOKUP(B27,GiaCuoc!$A$2:$C$6,3,FALSE),"Kiểm tra mã dịch vụ")</f>
        <v/>
      </c>
      <c r="F27" s="2">
        <f>IF(E27="Kiểm tra mã dịch vụ","Cần kiểm tra","Đã tra cước")</f>
        <v/>
      </c>
      <c r="G27" s="5" t="n">
        <v>46295</v>
      </c>
    </row>
    <row r="28">
      <c r="A28" s="2" t="inlineStr">
        <is>
          <t>FM000027</t>
        </is>
      </c>
      <c r="B28" s="2" t="inlineStr">
        <is>
          <t>FM-NGOAITHANH</t>
        </is>
      </c>
      <c r="C28" s="2" t="inlineStr">
        <is>
          <t>Ngoại thành</t>
        </is>
      </c>
      <c r="D28" s="3" t="n">
        <v>10.1</v>
      </c>
      <c r="E28" s="4">
        <f>IFERROR(VLOOKUP(B28,GiaCuoc!$A$2:$C$6,3,FALSE),"Kiểm tra mã dịch vụ")</f>
        <v/>
      </c>
      <c r="F28" s="2">
        <f>IF(E28="Kiểm tra mã dịch vụ","Cần kiểm tra","Đã tra cước")</f>
        <v/>
      </c>
      <c r="G28" s="5" t="n">
        <v>46294</v>
      </c>
    </row>
    <row r="29">
      <c r="A29" s="2" t="inlineStr">
        <is>
          <t>FM000028</t>
        </is>
      </c>
      <c r="B29" s="2" t="inlineStr">
        <is>
          <t>FM-LIENMIEN</t>
        </is>
      </c>
      <c r="C29" s="2" t="inlineStr">
        <is>
          <t>Liên miền</t>
        </is>
      </c>
      <c r="D29" s="3" t="n">
        <v>11.4</v>
      </c>
      <c r="E29" s="4">
        <f>IFERROR(VLOOKUP(B29,GiaCuoc!$A$2:$C$6,3,FALSE),"Kiểm tra mã dịch vụ")</f>
        <v/>
      </c>
      <c r="F29" s="2">
        <f>IF(E29="Kiểm tra mã dịch vụ","Cần kiểm tra","Đã tra cước")</f>
        <v/>
      </c>
      <c r="G29" s="5" t="n">
        <v>46293</v>
      </c>
    </row>
    <row r="30">
      <c r="A30" s="2" t="inlineStr">
        <is>
          <t>FM000029</t>
        </is>
      </c>
      <c r="B30" s="2" t="inlineStr">
        <is>
          <t>FM-HOATOC</t>
        </is>
      </c>
      <c r="C30" s="2" t="inlineStr">
        <is>
          <t>Hỏa tốc</t>
        </is>
      </c>
      <c r="D30" s="3" t="n">
        <v>12.7</v>
      </c>
      <c r="E30" s="4">
        <f>IFERROR(VLOOKUP(B30,GiaCuoc!$A$2:$C$6,3,FALSE),"Kiểm tra mã dịch vụ")</f>
        <v/>
      </c>
      <c r="F30" s="2">
        <f>IF(E30="Kiểm tra mã dịch vụ","Cần kiểm tra","Đã tra cước")</f>
        <v/>
      </c>
      <c r="G30" s="5" t="n">
        <v>46292</v>
      </c>
    </row>
    <row r="31">
      <c r="A31" s="2" t="inlineStr">
        <is>
          <t>FM000030</t>
        </is>
      </c>
      <c r="B31" s="2" t="inlineStr">
        <is>
          <t>FM-TIETKIEM</t>
        </is>
      </c>
      <c r="C31" s="2" t="inlineStr">
        <is>
          <t>Tiết kiệm</t>
        </is>
      </c>
      <c r="D31" s="3" t="n">
        <v>14</v>
      </c>
      <c r="E31" s="4">
        <f>IFERROR(VLOOKUP(B31,GiaCuoc!$A$2:$C$6,3,FALSE),"Kiểm tra mã dịch vụ")</f>
        <v/>
      </c>
      <c r="F31" s="2">
        <f>IF(E31="Kiểm tra mã dịch vụ","Cần kiểm tra","Đã tra cước")</f>
        <v/>
      </c>
      <c r="G31" s="5" t="n">
        <v>46321</v>
      </c>
    </row>
    <row r="32">
      <c r="A32" s="2" t="inlineStr">
        <is>
          <t>FM000031</t>
        </is>
      </c>
      <c r="B32" s="2" t="inlineStr">
        <is>
          <t>FM-NOIBAI</t>
        </is>
      </c>
      <c r="C32" s="2" t="inlineStr">
        <is>
          <t>Nội thành</t>
        </is>
      </c>
      <c r="D32" s="3" t="n">
        <v>15.3</v>
      </c>
      <c r="E32" s="4">
        <f>IFERROR(VLOOKUP(B32,GiaCuoc!$A$2:$C$6,3,FALSE),"Kiểm tra mã dịch vụ")</f>
        <v/>
      </c>
      <c r="F32" s="2">
        <f>IF(E32="Kiểm tra mã dịch vụ","Cần kiểm tra","Đã tra cước")</f>
        <v/>
      </c>
      <c r="G32" s="5" t="n">
        <v>46320</v>
      </c>
    </row>
    <row r="33">
      <c r="A33" s="2" t="inlineStr">
        <is>
          <t>FM000032</t>
        </is>
      </c>
      <c r="B33" s="2" t="inlineStr">
        <is>
          <t>FM-NGOAITHANH</t>
        </is>
      </c>
      <c r="C33" s="2" t="inlineStr">
        <is>
          <t>Ngoại thành</t>
        </is>
      </c>
      <c r="D33" s="3" t="n">
        <v>16.6</v>
      </c>
      <c r="E33" s="4">
        <f>IFERROR(VLOOKUP(B33,GiaCuoc!$A$2:$C$6,3,FALSE),"Kiểm tra mã dịch vụ")</f>
        <v/>
      </c>
      <c r="F33" s="2">
        <f>IF(E33="Kiểm tra mã dịch vụ","Cần kiểm tra","Đã tra cước")</f>
        <v/>
      </c>
      <c r="G33" s="5" t="n">
        <v>46319</v>
      </c>
    </row>
    <row r="34">
      <c r="A34" s="2" t="inlineStr">
        <is>
          <t>FM000033</t>
        </is>
      </c>
      <c r="B34" s="2" t="inlineStr">
        <is>
          <t>FM-LIENMIEN</t>
        </is>
      </c>
      <c r="C34" s="2" t="inlineStr">
        <is>
          <t>Liên miền</t>
        </is>
      </c>
      <c r="D34" s="3" t="n">
        <v>17.9</v>
      </c>
      <c r="E34" s="4">
        <f>IFERROR(VLOOKUP(B34,GiaCuoc!$A$2:$C$6,3,FALSE),"Kiểm tra mã dịch vụ")</f>
        <v/>
      </c>
      <c r="F34" s="2">
        <f>IF(E34="Kiểm tra mã dịch vụ","Cần kiểm tra","Đã tra cước")</f>
        <v/>
      </c>
      <c r="G34" s="5" t="n">
        <v>46318</v>
      </c>
    </row>
    <row r="35">
      <c r="A35" s="2" t="inlineStr">
        <is>
          <t>FM000034</t>
        </is>
      </c>
      <c r="B35" s="2" t="inlineStr">
        <is>
          <t>FM-HOATOC</t>
        </is>
      </c>
      <c r="C35" s="2" t="inlineStr">
        <is>
          <t>Hỏa tốc</t>
        </is>
      </c>
      <c r="D35" s="3" t="n">
        <v>19.2</v>
      </c>
      <c r="E35" s="4">
        <f>IFERROR(VLOOKUP(B35,GiaCuoc!$A$2:$C$6,3,FALSE),"Kiểm tra mã dịch vụ")</f>
        <v/>
      </c>
      <c r="F35" s="2">
        <f>IF(E35="Kiểm tra mã dịch vụ","Cần kiểm tra","Đã tra cước")</f>
        <v/>
      </c>
      <c r="G35" s="5" t="n">
        <v>46317</v>
      </c>
    </row>
    <row r="36">
      <c r="A36" s="2" t="inlineStr">
        <is>
          <t>FM000035</t>
        </is>
      </c>
      <c r="B36" s="2" t="inlineStr">
        <is>
          <t>FM-TIETKIEM</t>
        </is>
      </c>
      <c r="C36" s="2" t="inlineStr">
        <is>
          <t>Tiết kiệm</t>
        </is>
      </c>
      <c r="D36" s="3" t="n">
        <v>20.5</v>
      </c>
      <c r="E36" s="4">
        <f>IFERROR(VLOOKUP(B36,GiaCuoc!$A$2:$C$6,3,FALSE),"Kiểm tra mã dịch vụ")</f>
        <v/>
      </c>
      <c r="F36" s="2">
        <f>IF(E36="Kiểm tra mã dịch vụ","Cần kiểm tra","Đã tra cước")</f>
        <v/>
      </c>
      <c r="G36" s="5" t="n">
        <v>46316</v>
      </c>
    </row>
    <row r="37">
      <c r="A37" s="2" t="inlineStr">
        <is>
          <t>FM000036</t>
        </is>
      </c>
      <c r="B37" s="2" t="inlineStr">
        <is>
          <t>FM-NOIBAI</t>
        </is>
      </c>
      <c r="C37" s="2" t="inlineStr">
        <is>
          <t>Nội thành</t>
        </is>
      </c>
      <c r="D37" s="3" t="n">
        <v>21.8</v>
      </c>
      <c r="E37" s="4">
        <f>IFERROR(VLOOKUP(B37,GiaCuoc!$A$2:$C$6,3,FALSE),"Kiểm tra mã dịch vụ")</f>
        <v/>
      </c>
      <c r="F37" s="2">
        <f>IF(E37="Kiểm tra mã dịch vụ","Cần kiểm tra","Đã tra cước")</f>
        <v/>
      </c>
      <c r="G37" s="5" t="n">
        <v>46315</v>
      </c>
    </row>
    <row r="38">
      <c r="A38" s="2" t="inlineStr">
        <is>
          <t>FM000037</t>
        </is>
      </c>
      <c r="B38" s="2" t="inlineStr">
        <is>
          <t>FM-NGOAITHANH</t>
        </is>
      </c>
      <c r="C38" s="2" t="inlineStr">
        <is>
          <t>Ngoại thành</t>
        </is>
      </c>
      <c r="D38" s="3" t="n">
        <v>23.1</v>
      </c>
      <c r="E38" s="4">
        <f>IFERROR(VLOOKUP(B38,GiaCuoc!$A$2:$C$6,3,FALSE),"Kiểm tra mã dịch vụ")</f>
        <v/>
      </c>
      <c r="F38" s="2">
        <f>IF(E38="Kiểm tra mã dịch vụ","Cần kiểm tra","Đã tra cước")</f>
        <v/>
      </c>
      <c r="G38" s="5" t="n">
        <v>46314</v>
      </c>
    </row>
    <row r="39">
      <c r="A39" s="2" t="inlineStr">
        <is>
          <t>FM000038</t>
        </is>
      </c>
      <c r="B39" s="2" t="inlineStr">
        <is>
          <t>FM-LIENMIEN</t>
        </is>
      </c>
      <c r="C39" s="2" t="inlineStr">
        <is>
          <t>Liên miền</t>
        </is>
      </c>
      <c r="D39" s="3" t="n">
        <v>24.4</v>
      </c>
      <c r="E39" s="4">
        <f>IFERROR(VLOOKUP(B39,GiaCuoc!$A$2:$C$6,3,FALSE),"Kiểm tra mã dịch vụ")</f>
        <v/>
      </c>
      <c r="F39" s="2">
        <f>IF(E39="Kiểm tra mã dịch vụ","Cần kiểm tra","Đã tra cước")</f>
        <v/>
      </c>
      <c r="G39" s="5" t="n">
        <v>46313</v>
      </c>
    </row>
    <row r="40">
      <c r="A40" s="2" t="inlineStr">
        <is>
          <t>FM000039</t>
        </is>
      </c>
      <c r="B40" s="2" t="inlineStr">
        <is>
          <t>FM-HOATOC</t>
        </is>
      </c>
      <c r="C40" s="2" t="inlineStr">
        <is>
          <t>Hỏa tốc</t>
        </is>
      </c>
      <c r="D40" s="3" t="n">
        <v>0.7</v>
      </c>
      <c r="E40" s="4">
        <f>IFERROR(VLOOKUP(B40,GiaCuoc!$A$2:$C$6,3,FALSE),"Kiểm tra mã dịch vụ")</f>
        <v/>
      </c>
      <c r="F40" s="2">
        <f>IF(E40="Kiểm tra mã dịch vụ","Cần kiểm tra","Đã tra cước")</f>
        <v/>
      </c>
      <c r="G40" s="5" t="n">
        <v>46312</v>
      </c>
    </row>
    <row r="41">
      <c r="A41" s="2" t="inlineStr">
        <is>
          <t>FM000040</t>
        </is>
      </c>
      <c r="B41" s="2" t="inlineStr">
        <is>
          <t>FM-TIETKIEM</t>
        </is>
      </c>
      <c r="C41" s="2" t="inlineStr">
        <is>
          <t>Tiết kiệm</t>
        </is>
      </c>
      <c r="D41" s="3" t="n">
        <v>2</v>
      </c>
      <c r="E41" s="4">
        <f>IFERROR(VLOOKUP(B41,GiaCuoc!$A$2:$C$6,3,FALSE),"Kiểm tra mã dịch vụ")</f>
        <v/>
      </c>
      <c r="F41" s="2">
        <f>IF(E41="Kiểm tra mã dịch vụ","Cần kiểm tra","Đã tra cước")</f>
        <v/>
      </c>
      <c r="G41" s="5" t="n">
        <v>46311</v>
      </c>
    </row>
    <row r="42">
      <c r="A42" s="2" t="inlineStr">
        <is>
          <t>FM000041</t>
        </is>
      </c>
      <c r="B42" s="2" t="inlineStr">
        <is>
          <t>FM-NOIBAI</t>
        </is>
      </c>
      <c r="C42" s="2" t="inlineStr">
        <is>
          <t>Nội thành</t>
        </is>
      </c>
      <c r="D42" s="3" t="n">
        <v>3.3</v>
      </c>
      <c r="E42" s="4">
        <f>IFERROR(VLOOKUP(B42,GiaCuoc!$A$2:$C$6,3,FALSE),"Kiểm tra mã dịch vụ")</f>
        <v/>
      </c>
      <c r="F42" s="2">
        <f>IF(E42="Kiểm tra mã dịch vụ","Cần kiểm tra","Đã tra cước")</f>
        <v/>
      </c>
      <c r="G42" s="5" t="n">
        <v>46310</v>
      </c>
    </row>
    <row r="43">
      <c r="A43" s="2" t="inlineStr">
        <is>
          <t>FM000042</t>
        </is>
      </c>
      <c r="B43" s="2" t="inlineStr">
        <is>
          <t>FM-NGOAITHANH</t>
        </is>
      </c>
      <c r="C43" s="2" t="inlineStr">
        <is>
          <t>Ngoại thành</t>
        </is>
      </c>
      <c r="D43" s="3" t="n">
        <v>4.6</v>
      </c>
      <c r="E43" s="4">
        <f>IFERROR(VLOOKUP(B43,GiaCuoc!$A$2:$C$6,3,FALSE),"Kiểm tra mã dịch vụ")</f>
        <v/>
      </c>
      <c r="F43" s="2">
        <f>IF(E43="Kiểm tra mã dịch vụ","Cần kiểm tra","Đã tra cước")</f>
        <v/>
      </c>
      <c r="G43" s="5" t="n">
        <v>46309</v>
      </c>
    </row>
    <row r="44">
      <c r="A44" s="2" t="inlineStr">
        <is>
          <t>FM000043</t>
        </is>
      </c>
      <c r="B44" s="2" t="inlineStr">
        <is>
          <t>FM-LIENMIEN</t>
        </is>
      </c>
      <c r="C44" s="2" t="inlineStr">
        <is>
          <t>Liên miền</t>
        </is>
      </c>
      <c r="D44" s="3" t="n">
        <v>5.9</v>
      </c>
      <c r="E44" s="4">
        <f>IFERROR(VLOOKUP(B44,GiaCuoc!$A$2:$C$6,3,FALSE),"Kiểm tra mã dịch vụ")</f>
        <v/>
      </c>
      <c r="F44" s="2">
        <f>IF(E44="Kiểm tra mã dịch vụ","Cần kiểm tra","Đã tra cước")</f>
        <v/>
      </c>
      <c r="G44" s="5" t="n">
        <v>46308</v>
      </c>
    </row>
    <row r="45">
      <c r="A45" s="2" t="inlineStr">
        <is>
          <t>FM000044</t>
        </is>
      </c>
      <c r="B45" s="2" t="inlineStr">
        <is>
          <t>FM-HOATOC</t>
        </is>
      </c>
      <c r="C45" s="2" t="inlineStr">
        <is>
          <t>Hỏa tốc</t>
        </is>
      </c>
      <c r="D45" s="3" t="n">
        <v>7.2</v>
      </c>
      <c r="E45" s="4">
        <f>IFERROR(VLOOKUP(B45,GiaCuoc!$A$2:$C$6,3,FALSE),"Kiểm tra mã dịch vụ")</f>
        <v/>
      </c>
      <c r="F45" s="2">
        <f>IF(E45="Kiểm tra mã dịch vụ","Cần kiểm tra","Đã tra cước")</f>
        <v/>
      </c>
      <c r="G45" s="5" t="n">
        <v>46307</v>
      </c>
    </row>
    <row r="46">
      <c r="A46" s="2" t="inlineStr">
        <is>
          <t>FM000045</t>
        </is>
      </c>
      <c r="B46" s="2" t="inlineStr">
        <is>
          <t>FM-TIETKIEM</t>
        </is>
      </c>
      <c r="C46" s="2" t="inlineStr">
        <is>
          <t>Tiết kiệm</t>
        </is>
      </c>
      <c r="D46" s="3" t="n">
        <v>8.5</v>
      </c>
      <c r="E46" s="4">
        <f>IFERROR(VLOOKUP(B46,GiaCuoc!$A$2:$C$6,3,FALSE),"Kiểm tra mã dịch vụ")</f>
        <v/>
      </c>
      <c r="F46" s="2">
        <f>IF(E46="Kiểm tra mã dịch vụ","Cần kiểm tra","Đã tra cước")</f>
        <v/>
      </c>
      <c r="G46" s="5" t="n">
        <v>46306</v>
      </c>
    </row>
    <row r="47">
      <c r="A47" s="2" t="inlineStr">
        <is>
          <t>FM000046</t>
        </is>
      </c>
      <c r="B47" s="2" t="inlineStr">
        <is>
          <t>FM-NOIBAI</t>
        </is>
      </c>
      <c r="C47" s="2" t="inlineStr">
        <is>
          <t>Nội thành</t>
        </is>
      </c>
      <c r="D47" s="3" t="n">
        <v>9.800000000000001</v>
      </c>
      <c r="E47" s="4">
        <f>IFERROR(VLOOKUP(B47,GiaCuoc!$A$2:$C$6,3,FALSE),"Kiểm tra mã dịch vụ")</f>
        <v/>
      </c>
      <c r="F47" s="2">
        <f>IF(E47="Kiểm tra mã dịch vụ","Cần kiểm tra","Đã tra cước")</f>
        <v/>
      </c>
      <c r="G47" s="5" t="n">
        <v>46305</v>
      </c>
    </row>
    <row r="48">
      <c r="A48" s="2" t="inlineStr">
        <is>
          <t>FM000047</t>
        </is>
      </c>
      <c r="B48" s="2" t="inlineStr">
        <is>
          <t>FM-NGOAITHANH</t>
        </is>
      </c>
      <c r="C48" s="2" t="inlineStr">
        <is>
          <t>Ngoại thành</t>
        </is>
      </c>
      <c r="D48" s="3" t="n">
        <v>11.1</v>
      </c>
      <c r="E48" s="4">
        <f>IFERROR(VLOOKUP(B48,GiaCuoc!$A$2:$C$6,3,FALSE),"Kiểm tra mã dịch vụ")</f>
        <v/>
      </c>
      <c r="F48" s="2">
        <f>IF(E48="Kiểm tra mã dịch vụ","Cần kiểm tra","Đã tra cước")</f>
        <v/>
      </c>
      <c r="G48" s="5" t="n">
        <v>46304</v>
      </c>
    </row>
    <row r="49">
      <c r="A49" s="2" t="inlineStr">
        <is>
          <t>FM000048</t>
        </is>
      </c>
      <c r="B49" s="2" t="inlineStr">
        <is>
          <t>FM-LIENMIEN</t>
        </is>
      </c>
      <c r="C49" s="2" t="inlineStr">
        <is>
          <t>Liên miền</t>
        </is>
      </c>
      <c r="D49" s="3" t="n">
        <v>12.4</v>
      </c>
      <c r="E49" s="4">
        <f>IFERROR(VLOOKUP(B49,GiaCuoc!$A$2:$C$6,3,FALSE),"Kiểm tra mã dịch vụ")</f>
        <v/>
      </c>
      <c r="F49" s="2">
        <f>IF(E49="Kiểm tra mã dịch vụ","Cần kiểm tra","Đã tra cước")</f>
        <v/>
      </c>
      <c r="G49" s="5" t="n">
        <v>46303</v>
      </c>
    </row>
    <row r="50">
      <c r="A50" s="2" t="inlineStr">
        <is>
          <t>FM000049</t>
        </is>
      </c>
      <c r="B50" s="2" t="inlineStr">
        <is>
          <t>FM-HOATOC</t>
        </is>
      </c>
      <c r="C50" s="2" t="inlineStr">
        <is>
          <t>Hỏa tốc</t>
        </is>
      </c>
      <c r="D50" s="3" t="n">
        <v>13.7</v>
      </c>
      <c r="E50" s="4">
        <f>IFERROR(VLOOKUP(B50,GiaCuoc!$A$2:$C$6,3,FALSE),"Kiểm tra mã dịch vụ")</f>
        <v/>
      </c>
      <c r="F50" s="2">
        <f>IF(E50="Kiểm tra mã dịch vụ","Cần kiểm tra","Đã tra cước")</f>
        <v/>
      </c>
      <c r="G50" s="5" t="n">
        <v>46302</v>
      </c>
    </row>
    <row r="51">
      <c r="A51" s="2" t="inlineStr">
        <is>
          <t>FM000050</t>
        </is>
      </c>
      <c r="B51" s="2" t="inlineStr">
        <is>
          <t>FM-TIETKIEM</t>
        </is>
      </c>
      <c r="C51" s="2" t="inlineStr">
        <is>
          <t>Tiết kiệm</t>
        </is>
      </c>
      <c r="D51" s="3" t="n">
        <v>15</v>
      </c>
      <c r="E51" s="4">
        <f>IFERROR(VLOOKUP(B51,GiaCuoc!$A$2:$C$6,3,FALSE),"Kiểm tra mã dịch vụ")</f>
        <v/>
      </c>
      <c r="F51" s="2">
        <f>IF(E51="Kiểm tra mã dịch vụ","Cần kiểm tra","Đã tra cước")</f>
        <v/>
      </c>
      <c r="G51" s="5" t="n">
        <v>46301</v>
      </c>
    </row>
    <row r="52">
      <c r="A52" s="2" t="inlineStr">
        <is>
          <t>FM000051</t>
        </is>
      </c>
      <c r="B52" s="2" t="inlineStr">
        <is>
          <t>FM-NOIBAI</t>
        </is>
      </c>
      <c r="C52" s="2" t="inlineStr">
        <is>
          <t>Nội thành</t>
        </is>
      </c>
      <c r="D52" s="3" t="n">
        <v>16.3</v>
      </c>
      <c r="E52" s="4">
        <f>IFERROR(VLOOKUP(B52,GiaCuoc!$A$2:$C$6,3,FALSE),"Kiểm tra mã dịch vụ")</f>
        <v/>
      </c>
      <c r="F52" s="2">
        <f>IF(E52="Kiểm tra mã dịch vụ","Cần kiểm tra","Đã tra cước")</f>
        <v/>
      </c>
      <c r="G52" s="5" t="n">
        <v>46300</v>
      </c>
    </row>
    <row r="53">
      <c r="A53" s="2" t="inlineStr">
        <is>
          <t>FM000052</t>
        </is>
      </c>
      <c r="B53" s="2" t="inlineStr">
        <is>
          <t>FM-NGOAITHANH</t>
        </is>
      </c>
      <c r="C53" s="2" t="inlineStr">
        <is>
          <t>Ngoại thành</t>
        </is>
      </c>
      <c r="D53" s="3" t="n">
        <v>17.6</v>
      </c>
      <c r="E53" s="4">
        <f>IFERROR(VLOOKUP(B53,GiaCuoc!$A$2:$C$6,3,FALSE),"Kiểm tra mã dịch vụ")</f>
        <v/>
      </c>
      <c r="F53" s="2">
        <f>IF(E53="Kiểm tra mã dịch vụ","Cần kiểm tra","Đã tra cước")</f>
        <v/>
      </c>
      <c r="G53" s="5" t="n">
        <v>46299</v>
      </c>
    </row>
    <row r="54">
      <c r="A54" s="2" t="inlineStr">
        <is>
          <t>FM000053</t>
        </is>
      </c>
      <c r="B54" s="2" t="inlineStr">
        <is>
          <t>FM-LIENMIEN</t>
        </is>
      </c>
      <c r="C54" s="2" t="inlineStr">
        <is>
          <t>Liên miền</t>
        </is>
      </c>
      <c r="D54" s="3" t="n">
        <v>18.9</v>
      </c>
      <c r="E54" s="4">
        <f>IFERROR(VLOOKUP(B54,GiaCuoc!$A$2:$C$6,3,FALSE),"Kiểm tra mã dịch vụ")</f>
        <v/>
      </c>
      <c r="F54" s="2">
        <f>IF(E54="Kiểm tra mã dịch vụ","Cần kiểm tra","Đã tra cước")</f>
        <v/>
      </c>
      <c r="G54" s="5" t="n">
        <v>46298</v>
      </c>
    </row>
    <row r="55">
      <c r="A55" s="2" t="inlineStr">
        <is>
          <t>FM000054</t>
        </is>
      </c>
      <c r="B55" s="2" t="inlineStr">
        <is>
          <t>FM-HOATOC</t>
        </is>
      </c>
      <c r="C55" s="2" t="inlineStr">
        <is>
          <t>Hỏa tốc</t>
        </is>
      </c>
      <c r="D55" s="3" t="n">
        <v>20.2</v>
      </c>
      <c r="E55" s="4">
        <f>IFERROR(VLOOKUP(B55,GiaCuoc!$A$2:$C$6,3,FALSE),"Kiểm tra mã dịch vụ")</f>
        <v/>
      </c>
      <c r="F55" s="2">
        <f>IF(E55="Kiểm tra mã dịch vụ","Cần kiểm tra","Đã tra cước")</f>
        <v/>
      </c>
      <c r="G55" s="5" t="n">
        <v>46297</v>
      </c>
    </row>
    <row r="56">
      <c r="A56" s="2" t="inlineStr">
        <is>
          <t>FM000055</t>
        </is>
      </c>
      <c r="B56" s="2" t="inlineStr">
        <is>
          <t>FM-TIETKIEM</t>
        </is>
      </c>
      <c r="C56" s="2" t="inlineStr">
        <is>
          <t>Tiết kiệm</t>
        </is>
      </c>
      <c r="D56" s="3" t="n">
        <v>21.5</v>
      </c>
      <c r="E56" s="4">
        <f>IFERROR(VLOOKUP(B56,GiaCuoc!$A$2:$C$6,3,FALSE),"Kiểm tra mã dịch vụ")</f>
        <v/>
      </c>
      <c r="F56" s="2">
        <f>IF(E56="Kiểm tra mã dịch vụ","Cần kiểm tra","Đã tra cước")</f>
        <v/>
      </c>
      <c r="G56" s="5" t="n">
        <v>46296</v>
      </c>
    </row>
    <row r="57">
      <c r="A57" s="2" t="inlineStr">
        <is>
          <t>FM000056</t>
        </is>
      </c>
      <c r="B57" s="2" t="inlineStr">
        <is>
          <t>FM-NOIBAI</t>
        </is>
      </c>
      <c r="C57" s="2" t="inlineStr">
        <is>
          <t>Nội thành</t>
        </is>
      </c>
      <c r="D57" s="3" t="n">
        <v>22.8</v>
      </c>
      <c r="E57" s="4">
        <f>IFERROR(VLOOKUP(B57,GiaCuoc!$A$2:$C$6,3,FALSE),"Kiểm tra mã dịch vụ")</f>
        <v/>
      </c>
      <c r="F57" s="2">
        <f>IF(E57="Kiểm tra mã dịch vụ","Cần kiểm tra","Đã tra cước")</f>
        <v/>
      </c>
      <c r="G57" s="5" t="n">
        <v>46295</v>
      </c>
    </row>
    <row r="58">
      <c r="A58" s="2" t="inlineStr">
        <is>
          <t>FM000057</t>
        </is>
      </c>
      <c r="B58" s="2" t="inlineStr">
        <is>
          <t>FM-NGOAITHANH</t>
        </is>
      </c>
      <c r="C58" s="2" t="inlineStr">
        <is>
          <t>Ngoại thành</t>
        </is>
      </c>
      <c r="D58" s="3" t="n">
        <v>24.1</v>
      </c>
      <c r="E58" s="4">
        <f>IFERROR(VLOOKUP(B58,GiaCuoc!$A$2:$C$6,3,FALSE),"Kiểm tra mã dịch vụ")</f>
        <v/>
      </c>
      <c r="F58" s="2">
        <f>IF(E58="Kiểm tra mã dịch vụ","Cần kiểm tra","Đã tra cước")</f>
        <v/>
      </c>
      <c r="G58" s="5" t="n">
        <v>46294</v>
      </c>
    </row>
    <row r="59">
      <c r="A59" s="2" t="inlineStr">
        <is>
          <t>FM000058</t>
        </is>
      </c>
      <c r="B59" s="2" t="inlineStr">
        <is>
          <t>FM-LIENMIEN</t>
        </is>
      </c>
      <c r="C59" s="2" t="inlineStr">
        <is>
          <t>Liên miền</t>
        </is>
      </c>
      <c r="D59" s="3" t="n">
        <v>0.4</v>
      </c>
      <c r="E59" s="4">
        <f>IFERROR(VLOOKUP(B59,GiaCuoc!$A$2:$C$6,3,FALSE),"Kiểm tra mã dịch vụ")</f>
        <v/>
      </c>
      <c r="F59" s="2">
        <f>IF(E59="Kiểm tra mã dịch vụ","Cần kiểm tra","Đã tra cước")</f>
        <v/>
      </c>
      <c r="G59" s="5" t="n">
        <v>46293</v>
      </c>
    </row>
    <row r="60">
      <c r="A60" s="2" t="inlineStr">
        <is>
          <t>FM000059</t>
        </is>
      </c>
      <c r="B60" s="2" t="inlineStr">
        <is>
          <t>FM-HOATOC</t>
        </is>
      </c>
      <c r="C60" s="2" t="inlineStr">
        <is>
          <t>Hỏa tốc</t>
        </is>
      </c>
      <c r="D60" s="3" t="n">
        <v>1.7</v>
      </c>
      <c r="E60" s="4">
        <f>IFERROR(VLOOKUP(B60,GiaCuoc!$A$2:$C$6,3,FALSE),"Kiểm tra mã dịch vụ")</f>
        <v/>
      </c>
      <c r="F60" s="2">
        <f>IF(E60="Kiểm tra mã dịch vụ","Cần kiểm tra","Đã tra cước")</f>
        <v/>
      </c>
      <c r="G60" s="5" t="n">
        <v>46292</v>
      </c>
    </row>
    <row r="61">
      <c r="A61" s="2" t="inlineStr">
        <is>
          <t>FM000060</t>
        </is>
      </c>
      <c r="B61" s="2" t="inlineStr">
        <is>
          <t>FM-TIETKIEM</t>
        </is>
      </c>
      <c r="C61" s="2" t="inlineStr">
        <is>
          <t>Tiết kiệm</t>
        </is>
      </c>
      <c r="D61" s="3" t="n">
        <v>3</v>
      </c>
      <c r="E61" s="4">
        <f>IFERROR(VLOOKUP(B61,GiaCuoc!$A$2:$C$6,3,FALSE),"Kiểm tra mã dịch vụ")</f>
        <v/>
      </c>
      <c r="F61" s="2">
        <f>IF(E61="Kiểm tra mã dịch vụ","Cần kiểm tra","Đã tra cước")</f>
        <v/>
      </c>
      <c r="G61" s="5" t="n">
        <v>46321</v>
      </c>
    </row>
    <row r="62">
      <c r="A62" s="2" t="inlineStr">
        <is>
          <t>FM000061</t>
        </is>
      </c>
      <c r="B62" s="2" t="inlineStr">
        <is>
          <t>FM-NOIBAI</t>
        </is>
      </c>
      <c r="C62" s="2" t="inlineStr">
        <is>
          <t>Nội thành</t>
        </is>
      </c>
      <c r="D62" s="3" t="n">
        <v>4.3</v>
      </c>
      <c r="E62" s="4">
        <f>IFERROR(VLOOKUP(B62,GiaCuoc!$A$2:$C$6,3,FALSE),"Kiểm tra mã dịch vụ")</f>
        <v/>
      </c>
      <c r="F62" s="2">
        <f>IF(E62="Kiểm tra mã dịch vụ","Cần kiểm tra","Đã tra cước")</f>
        <v/>
      </c>
      <c r="G62" s="5" t="n">
        <v>46320</v>
      </c>
    </row>
    <row r="63">
      <c r="A63" s="2" t="inlineStr">
        <is>
          <t>FM000062</t>
        </is>
      </c>
      <c r="B63" s="2" t="inlineStr">
        <is>
          <t>FM-NGOAITHANH</t>
        </is>
      </c>
      <c r="C63" s="2" t="inlineStr">
        <is>
          <t>Ngoại thành</t>
        </is>
      </c>
      <c r="D63" s="3" t="n">
        <v>5.6</v>
      </c>
      <c r="E63" s="4">
        <f>IFERROR(VLOOKUP(B63,GiaCuoc!$A$2:$C$6,3,FALSE),"Kiểm tra mã dịch vụ")</f>
        <v/>
      </c>
      <c r="F63" s="2">
        <f>IF(E63="Kiểm tra mã dịch vụ","Cần kiểm tra","Đã tra cước")</f>
        <v/>
      </c>
      <c r="G63" s="5" t="n">
        <v>46319</v>
      </c>
    </row>
    <row r="64">
      <c r="A64" s="2" t="inlineStr">
        <is>
          <t>FM000063</t>
        </is>
      </c>
      <c r="B64" s="2" t="inlineStr">
        <is>
          <t>FM-LIENMIEN</t>
        </is>
      </c>
      <c r="C64" s="2" t="inlineStr">
        <is>
          <t>Liên miền</t>
        </is>
      </c>
      <c r="D64" s="3" t="n">
        <v>6.9</v>
      </c>
      <c r="E64" s="4">
        <f>IFERROR(VLOOKUP(B64,GiaCuoc!$A$2:$C$6,3,FALSE),"Kiểm tra mã dịch vụ")</f>
        <v/>
      </c>
      <c r="F64" s="2">
        <f>IF(E64="Kiểm tra mã dịch vụ","Cần kiểm tra","Đã tra cước")</f>
        <v/>
      </c>
      <c r="G64" s="5" t="n">
        <v>46318</v>
      </c>
    </row>
    <row r="65">
      <c r="A65" s="2" t="inlineStr">
        <is>
          <t>FM000064</t>
        </is>
      </c>
      <c r="B65" s="2" t="inlineStr">
        <is>
          <t>FM-HOATOC</t>
        </is>
      </c>
      <c r="C65" s="2" t="inlineStr">
        <is>
          <t>Hỏa tốc</t>
        </is>
      </c>
      <c r="D65" s="3" t="n">
        <v>8.199999999999999</v>
      </c>
      <c r="E65" s="4">
        <f>IFERROR(VLOOKUP(B65,GiaCuoc!$A$2:$C$6,3,FALSE),"Kiểm tra mã dịch vụ")</f>
        <v/>
      </c>
      <c r="F65" s="2">
        <f>IF(E65="Kiểm tra mã dịch vụ","Cần kiểm tra","Đã tra cước")</f>
        <v/>
      </c>
      <c r="G65" s="5" t="n">
        <v>46317</v>
      </c>
    </row>
    <row r="66">
      <c r="A66" s="2" t="inlineStr">
        <is>
          <t>FM000065</t>
        </is>
      </c>
      <c r="B66" s="2" t="inlineStr">
        <is>
          <t>FM-TIETKIEM</t>
        </is>
      </c>
      <c r="C66" s="2" t="inlineStr">
        <is>
          <t>Tiết kiệm</t>
        </is>
      </c>
      <c r="D66" s="3" t="n">
        <v>9.5</v>
      </c>
      <c r="E66" s="4">
        <f>IFERROR(VLOOKUP(B66,GiaCuoc!$A$2:$C$6,3,FALSE),"Kiểm tra mã dịch vụ")</f>
        <v/>
      </c>
      <c r="F66" s="2">
        <f>IF(E66="Kiểm tra mã dịch vụ","Cần kiểm tra","Đã tra cước")</f>
        <v/>
      </c>
      <c r="G66" s="5" t="n">
        <v>46316</v>
      </c>
    </row>
    <row r="67">
      <c r="A67" s="2" t="inlineStr">
        <is>
          <t>FM000066</t>
        </is>
      </c>
      <c r="B67" s="2" t="inlineStr">
        <is>
          <t>FM-NOIBAI</t>
        </is>
      </c>
      <c r="C67" s="2" t="inlineStr">
        <is>
          <t>Nội thành</t>
        </is>
      </c>
      <c r="D67" s="3" t="n">
        <v>10.8</v>
      </c>
      <c r="E67" s="4">
        <f>IFERROR(VLOOKUP(B67,GiaCuoc!$A$2:$C$6,3,FALSE),"Kiểm tra mã dịch vụ")</f>
        <v/>
      </c>
      <c r="F67" s="2">
        <f>IF(E67="Kiểm tra mã dịch vụ","Cần kiểm tra","Đã tra cước")</f>
        <v/>
      </c>
      <c r="G67" s="5" t="n">
        <v>46315</v>
      </c>
    </row>
    <row r="68">
      <c r="A68" s="2" t="inlineStr">
        <is>
          <t>FM000067</t>
        </is>
      </c>
      <c r="B68" s="2" t="inlineStr">
        <is>
          <t>FM-NGOAITHANH</t>
        </is>
      </c>
      <c r="C68" s="2" t="inlineStr">
        <is>
          <t>Ngoại thành</t>
        </is>
      </c>
      <c r="D68" s="3" t="n">
        <v>12.1</v>
      </c>
      <c r="E68" s="4">
        <f>IFERROR(VLOOKUP(B68,GiaCuoc!$A$2:$C$6,3,FALSE),"Kiểm tra mã dịch vụ")</f>
        <v/>
      </c>
      <c r="F68" s="2">
        <f>IF(E68="Kiểm tra mã dịch vụ","Cần kiểm tra","Đã tra cước")</f>
        <v/>
      </c>
      <c r="G68" s="5" t="n">
        <v>46314</v>
      </c>
    </row>
    <row r="69">
      <c r="A69" s="2" t="inlineStr">
        <is>
          <t>FM000068</t>
        </is>
      </c>
      <c r="B69" s="2" t="inlineStr">
        <is>
          <t>FM-LIENMIEN</t>
        </is>
      </c>
      <c r="C69" s="2" t="inlineStr">
        <is>
          <t>Liên miền</t>
        </is>
      </c>
      <c r="D69" s="3" t="n">
        <v>13.4</v>
      </c>
      <c r="E69" s="4">
        <f>IFERROR(VLOOKUP(B69,GiaCuoc!$A$2:$C$6,3,FALSE),"Kiểm tra mã dịch vụ")</f>
        <v/>
      </c>
      <c r="F69" s="2">
        <f>IF(E69="Kiểm tra mã dịch vụ","Cần kiểm tra","Đã tra cước")</f>
        <v/>
      </c>
      <c r="G69" s="5" t="n">
        <v>46313</v>
      </c>
    </row>
    <row r="70">
      <c r="A70" s="2" t="inlineStr">
        <is>
          <t>FM000069</t>
        </is>
      </c>
      <c r="B70" s="2" t="inlineStr">
        <is>
          <t>FM-HOATOC</t>
        </is>
      </c>
      <c r="C70" s="2" t="inlineStr">
        <is>
          <t>Hỏa tốc</t>
        </is>
      </c>
      <c r="D70" s="3" t="n">
        <v>14.7</v>
      </c>
      <c r="E70" s="4">
        <f>IFERROR(VLOOKUP(B70,GiaCuoc!$A$2:$C$6,3,FALSE),"Kiểm tra mã dịch vụ")</f>
        <v/>
      </c>
      <c r="F70" s="2">
        <f>IF(E70="Kiểm tra mã dịch vụ","Cần kiểm tra","Đã tra cước")</f>
        <v/>
      </c>
      <c r="G70" s="5" t="n">
        <v>46312</v>
      </c>
    </row>
    <row r="71">
      <c r="A71" s="2" t="inlineStr">
        <is>
          <t>FM000070</t>
        </is>
      </c>
      <c r="B71" s="2" t="inlineStr">
        <is>
          <t>FM-TIETKIEM</t>
        </is>
      </c>
      <c r="C71" s="2" t="inlineStr">
        <is>
          <t>Tiết kiệm</t>
        </is>
      </c>
      <c r="D71" s="3" t="n">
        <v>16</v>
      </c>
      <c r="E71" s="4">
        <f>IFERROR(VLOOKUP(B71,GiaCuoc!$A$2:$C$6,3,FALSE),"Kiểm tra mã dịch vụ")</f>
        <v/>
      </c>
      <c r="F71" s="2">
        <f>IF(E71="Kiểm tra mã dịch vụ","Cần kiểm tra","Đã tra cước")</f>
        <v/>
      </c>
      <c r="G71" s="5" t="n">
        <v>46311</v>
      </c>
    </row>
    <row r="72">
      <c r="A72" s="2" t="inlineStr">
        <is>
          <t>FM000071</t>
        </is>
      </c>
      <c r="B72" s="2" t="inlineStr">
        <is>
          <t>FM-NOIBAI</t>
        </is>
      </c>
      <c r="C72" s="2" t="inlineStr">
        <is>
          <t>Nội thành</t>
        </is>
      </c>
      <c r="D72" s="3" t="n">
        <v>17.3</v>
      </c>
      <c r="E72" s="4">
        <f>IFERROR(VLOOKUP(B72,GiaCuoc!$A$2:$C$6,3,FALSE),"Kiểm tra mã dịch vụ")</f>
        <v/>
      </c>
      <c r="F72" s="2">
        <f>IF(E72="Kiểm tra mã dịch vụ","Cần kiểm tra","Đã tra cước")</f>
        <v/>
      </c>
      <c r="G72" s="5" t="n">
        <v>46310</v>
      </c>
    </row>
    <row r="73">
      <c r="A73" s="2" t="inlineStr">
        <is>
          <t>FM000072</t>
        </is>
      </c>
      <c r="B73" s="2" t="inlineStr">
        <is>
          <t>FM-NGOAITHANH</t>
        </is>
      </c>
      <c r="C73" s="2" t="inlineStr">
        <is>
          <t>Ngoại thành</t>
        </is>
      </c>
      <c r="D73" s="3" t="n">
        <v>18.6</v>
      </c>
      <c r="E73" s="4">
        <f>IFERROR(VLOOKUP(B73,GiaCuoc!$A$2:$C$6,3,FALSE),"Kiểm tra mã dịch vụ")</f>
        <v/>
      </c>
      <c r="F73" s="2">
        <f>IF(E73="Kiểm tra mã dịch vụ","Cần kiểm tra","Đã tra cước")</f>
        <v/>
      </c>
      <c r="G73" s="5" t="n">
        <v>46309</v>
      </c>
    </row>
    <row r="74">
      <c r="A74" s="2" t="inlineStr">
        <is>
          <t>FM000073</t>
        </is>
      </c>
      <c r="B74" s="2" t="inlineStr">
        <is>
          <t>FM-LIENMIEN</t>
        </is>
      </c>
      <c r="C74" s="2" t="inlineStr">
        <is>
          <t>Liên miền</t>
        </is>
      </c>
      <c r="D74" s="3" t="n">
        <v>19.9</v>
      </c>
      <c r="E74" s="4">
        <f>IFERROR(VLOOKUP(B74,GiaCuoc!$A$2:$C$6,3,FALSE),"Kiểm tra mã dịch vụ")</f>
        <v/>
      </c>
      <c r="F74" s="2">
        <f>IF(E74="Kiểm tra mã dịch vụ","Cần kiểm tra","Đã tra cước")</f>
        <v/>
      </c>
      <c r="G74" s="5" t="n">
        <v>46308</v>
      </c>
    </row>
    <row r="75">
      <c r="A75" s="2" t="inlineStr">
        <is>
          <t>FM000074</t>
        </is>
      </c>
      <c r="B75" s="2" t="inlineStr">
        <is>
          <t>FM-HOATOC</t>
        </is>
      </c>
      <c r="C75" s="2" t="inlineStr">
        <is>
          <t>Hỏa tốc</t>
        </is>
      </c>
      <c r="D75" s="3" t="n">
        <v>21.2</v>
      </c>
      <c r="E75" s="4">
        <f>IFERROR(VLOOKUP(B75,GiaCuoc!$A$2:$C$6,3,FALSE),"Kiểm tra mã dịch vụ")</f>
        <v/>
      </c>
      <c r="F75" s="2">
        <f>IF(E75="Kiểm tra mã dịch vụ","Cần kiểm tra","Đã tra cước")</f>
        <v/>
      </c>
      <c r="G75" s="5" t="n">
        <v>46307</v>
      </c>
    </row>
    <row r="76">
      <c r="A76" s="2" t="inlineStr">
        <is>
          <t>FM000075</t>
        </is>
      </c>
      <c r="B76" s="2" t="inlineStr">
        <is>
          <t>FM-TIETKIEM</t>
        </is>
      </c>
      <c r="C76" s="2" t="inlineStr">
        <is>
          <t>Tiết kiệm</t>
        </is>
      </c>
      <c r="D76" s="3" t="n">
        <v>22.5</v>
      </c>
      <c r="E76" s="4">
        <f>IFERROR(VLOOKUP(B76,GiaCuoc!$A$2:$C$6,3,FALSE),"Kiểm tra mã dịch vụ")</f>
        <v/>
      </c>
      <c r="F76" s="2">
        <f>IF(E76="Kiểm tra mã dịch vụ","Cần kiểm tra","Đã tra cước")</f>
        <v/>
      </c>
      <c r="G76" s="5" t="n">
        <v>46306</v>
      </c>
    </row>
    <row r="77">
      <c r="A77" s="2" t="inlineStr">
        <is>
          <t>FM000076</t>
        </is>
      </c>
      <c r="B77" s="2" t="inlineStr">
        <is>
          <t>FM-NOIBAI</t>
        </is>
      </c>
      <c r="C77" s="2" t="inlineStr">
        <is>
          <t>Nội thành</t>
        </is>
      </c>
      <c r="D77" s="3" t="n">
        <v>23.8</v>
      </c>
      <c r="E77" s="4">
        <f>IFERROR(VLOOKUP(B77,GiaCuoc!$A$2:$C$6,3,FALSE),"Kiểm tra mã dịch vụ")</f>
        <v/>
      </c>
      <c r="F77" s="2">
        <f>IF(E77="Kiểm tra mã dịch vụ","Cần kiểm tra","Đã tra cước")</f>
        <v/>
      </c>
      <c r="G77" s="5" t="n">
        <v>46305</v>
      </c>
    </row>
    <row r="78">
      <c r="A78" s="2" t="inlineStr">
        <is>
          <t>FM000077</t>
        </is>
      </c>
      <c r="B78" s="2" t="inlineStr">
        <is>
          <t>FM-NGOAITHANH</t>
        </is>
      </c>
      <c r="C78" s="2" t="inlineStr">
        <is>
          <t>Ngoại thành</t>
        </is>
      </c>
      <c r="D78" s="3" t="n">
        <v>0.1</v>
      </c>
      <c r="E78" s="4">
        <f>IFERROR(VLOOKUP(B78,GiaCuoc!$A$2:$C$6,3,FALSE),"Kiểm tra mã dịch vụ")</f>
        <v/>
      </c>
      <c r="F78" s="2">
        <f>IF(E78="Kiểm tra mã dịch vụ","Cần kiểm tra","Đã tra cước")</f>
        <v/>
      </c>
      <c r="G78" s="5" t="n">
        <v>46304</v>
      </c>
    </row>
    <row r="79">
      <c r="A79" s="2" t="inlineStr">
        <is>
          <t>FM000078</t>
        </is>
      </c>
      <c r="B79" s="2" t="inlineStr">
        <is>
          <t>FM-LIENMIEN</t>
        </is>
      </c>
      <c r="C79" s="2" t="inlineStr">
        <is>
          <t>Liên miền</t>
        </is>
      </c>
      <c r="D79" s="3" t="n">
        <v>1.4</v>
      </c>
      <c r="E79" s="4">
        <f>IFERROR(VLOOKUP(B79,GiaCuoc!$A$2:$C$6,3,FALSE),"Kiểm tra mã dịch vụ")</f>
        <v/>
      </c>
      <c r="F79" s="2">
        <f>IF(E79="Kiểm tra mã dịch vụ","Cần kiểm tra","Đã tra cước")</f>
        <v/>
      </c>
      <c r="G79" s="5" t="n">
        <v>46303</v>
      </c>
    </row>
    <row r="80">
      <c r="A80" s="2" t="inlineStr">
        <is>
          <t>FM000079</t>
        </is>
      </c>
      <c r="B80" s="2" t="inlineStr">
        <is>
          <t>FM-HOATOC</t>
        </is>
      </c>
      <c r="C80" s="2" t="inlineStr">
        <is>
          <t>Hỏa tốc</t>
        </is>
      </c>
      <c r="D80" s="3" t="n">
        <v>2.7</v>
      </c>
      <c r="E80" s="4">
        <f>IFERROR(VLOOKUP(B80,GiaCuoc!$A$2:$C$6,3,FALSE),"Kiểm tra mã dịch vụ")</f>
        <v/>
      </c>
      <c r="F80" s="2">
        <f>IF(E80="Kiểm tra mã dịch vụ","Cần kiểm tra","Đã tra cước")</f>
        <v/>
      </c>
      <c r="G80" s="5" t="n">
        <v>46302</v>
      </c>
    </row>
    <row r="81">
      <c r="A81" s="2" t="inlineStr">
        <is>
          <t>FM000080</t>
        </is>
      </c>
      <c r="B81" s="2" t="inlineStr">
        <is>
          <t>FM-TIETKIEM</t>
        </is>
      </c>
      <c r="C81" s="2" t="inlineStr">
        <is>
          <t>Tiết kiệm</t>
        </is>
      </c>
      <c r="D81" s="3" t="n">
        <v>4</v>
      </c>
      <c r="E81" s="4">
        <f>IFERROR(VLOOKUP(B81,GiaCuoc!$A$2:$C$6,3,FALSE),"Kiểm tra mã dịch vụ")</f>
        <v/>
      </c>
      <c r="F81" s="2">
        <f>IF(E81="Kiểm tra mã dịch vụ","Cần kiểm tra","Đã tra cước")</f>
        <v/>
      </c>
      <c r="G81" s="5" t="n">
        <v>46301</v>
      </c>
    </row>
    <row r="82">
      <c r="A82" s="2" t="inlineStr">
        <is>
          <t>FM000081</t>
        </is>
      </c>
      <c r="B82" s="2" t="inlineStr">
        <is>
          <t>FM-NOIBAI</t>
        </is>
      </c>
      <c r="C82" s="2" t="inlineStr">
        <is>
          <t>Nội thành</t>
        </is>
      </c>
      <c r="D82" s="3" t="n">
        <v>5.3</v>
      </c>
      <c r="E82" s="4">
        <f>IFERROR(VLOOKUP(B82,GiaCuoc!$A$2:$C$6,3,FALSE),"Kiểm tra mã dịch vụ")</f>
        <v/>
      </c>
      <c r="F82" s="2">
        <f>IF(E82="Kiểm tra mã dịch vụ","Cần kiểm tra","Đã tra cước")</f>
        <v/>
      </c>
      <c r="G82" s="5" t="n">
        <v>46300</v>
      </c>
    </row>
    <row r="83">
      <c r="A83" s="2" t="inlineStr">
        <is>
          <t>FM000082</t>
        </is>
      </c>
      <c r="B83" s="2" t="inlineStr">
        <is>
          <t>FM-NGOAITHANH</t>
        </is>
      </c>
      <c r="C83" s="2" t="inlineStr">
        <is>
          <t>Ngoại thành</t>
        </is>
      </c>
      <c r="D83" s="3" t="n">
        <v>6.6</v>
      </c>
      <c r="E83" s="4">
        <f>IFERROR(VLOOKUP(B83,GiaCuoc!$A$2:$C$6,3,FALSE),"Kiểm tra mã dịch vụ")</f>
        <v/>
      </c>
      <c r="F83" s="2">
        <f>IF(E83="Kiểm tra mã dịch vụ","Cần kiểm tra","Đã tra cước")</f>
        <v/>
      </c>
      <c r="G83" s="5" t="n">
        <v>46299</v>
      </c>
    </row>
    <row r="84">
      <c r="A84" s="2" t="inlineStr">
        <is>
          <t>FM000083</t>
        </is>
      </c>
      <c r="B84" s="2" t="inlineStr">
        <is>
          <t>FM-LIENMIEN</t>
        </is>
      </c>
      <c r="C84" s="2" t="inlineStr">
        <is>
          <t>Liên miền</t>
        </is>
      </c>
      <c r="D84" s="3" t="n">
        <v>7.9</v>
      </c>
      <c r="E84" s="4">
        <f>IFERROR(VLOOKUP(B84,GiaCuoc!$A$2:$C$6,3,FALSE),"Kiểm tra mã dịch vụ")</f>
        <v/>
      </c>
      <c r="F84" s="2">
        <f>IF(E84="Kiểm tra mã dịch vụ","Cần kiểm tra","Đã tra cước")</f>
        <v/>
      </c>
      <c r="G84" s="5" t="n">
        <v>46298</v>
      </c>
    </row>
    <row r="85">
      <c r="A85" s="2" t="inlineStr">
        <is>
          <t>FM000084</t>
        </is>
      </c>
      <c r="B85" s="2" t="inlineStr">
        <is>
          <t>FM-HOATOC</t>
        </is>
      </c>
      <c r="C85" s="2" t="inlineStr">
        <is>
          <t>Hỏa tốc</t>
        </is>
      </c>
      <c r="D85" s="3" t="n">
        <v>9.199999999999999</v>
      </c>
      <c r="E85" s="4">
        <f>IFERROR(VLOOKUP(B85,GiaCuoc!$A$2:$C$6,3,FALSE),"Kiểm tra mã dịch vụ")</f>
        <v/>
      </c>
      <c r="F85" s="2">
        <f>IF(E85="Kiểm tra mã dịch vụ","Cần kiểm tra","Đã tra cước")</f>
        <v/>
      </c>
      <c r="G85" s="5" t="n">
        <v>46297</v>
      </c>
    </row>
    <row r="86">
      <c r="A86" s="2" t="inlineStr">
        <is>
          <t>FM000085</t>
        </is>
      </c>
      <c r="B86" s="2" t="inlineStr">
        <is>
          <t>FM-TIETKIEM</t>
        </is>
      </c>
      <c r="C86" s="2" t="inlineStr">
        <is>
          <t>Tiết kiệm</t>
        </is>
      </c>
      <c r="D86" s="3" t="n">
        <v>10.5</v>
      </c>
      <c r="E86" s="4">
        <f>IFERROR(VLOOKUP(B86,GiaCuoc!$A$2:$C$6,3,FALSE),"Kiểm tra mã dịch vụ")</f>
        <v/>
      </c>
      <c r="F86" s="2">
        <f>IF(E86="Kiểm tra mã dịch vụ","Cần kiểm tra","Đã tra cước")</f>
        <v/>
      </c>
      <c r="G86" s="5" t="n">
        <v>46296</v>
      </c>
    </row>
    <row r="87">
      <c r="A87" s="2" t="inlineStr">
        <is>
          <t>FM000086</t>
        </is>
      </c>
      <c r="B87" s="2" t="inlineStr">
        <is>
          <t>FM-NOIBAI</t>
        </is>
      </c>
      <c r="C87" s="2" t="inlineStr">
        <is>
          <t>Nội thành</t>
        </is>
      </c>
      <c r="D87" s="3" t="n">
        <v>11.8</v>
      </c>
      <c r="E87" s="4">
        <f>IFERROR(VLOOKUP(B87,GiaCuoc!$A$2:$C$6,3,FALSE),"Kiểm tra mã dịch vụ")</f>
        <v/>
      </c>
      <c r="F87" s="2">
        <f>IF(E87="Kiểm tra mã dịch vụ","Cần kiểm tra","Đã tra cước")</f>
        <v/>
      </c>
      <c r="G87" s="5" t="n">
        <v>46295</v>
      </c>
    </row>
    <row r="88">
      <c r="A88" s="2" t="inlineStr">
        <is>
          <t>FM000087</t>
        </is>
      </c>
      <c r="B88" s="2" t="inlineStr">
        <is>
          <t>FM-NGOAITHANH</t>
        </is>
      </c>
      <c r="C88" s="2" t="inlineStr">
        <is>
          <t>Ngoại thành</t>
        </is>
      </c>
      <c r="D88" s="3" t="n">
        <v>13.1</v>
      </c>
      <c r="E88" s="4">
        <f>IFERROR(VLOOKUP(B88,GiaCuoc!$A$2:$C$6,3,FALSE),"Kiểm tra mã dịch vụ")</f>
        <v/>
      </c>
      <c r="F88" s="2">
        <f>IF(E88="Kiểm tra mã dịch vụ","Cần kiểm tra","Đã tra cước")</f>
        <v/>
      </c>
      <c r="G88" s="5" t="n">
        <v>46294</v>
      </c>
    </row>
    <row r="89">
      <c r="A89" s="2" t="inlineStr">
        <is>
          <t>FM000088</t>
        </is>
      </c>
      <c r="B89" s="2" t="inlineStr">
        <is>
          <t>FM-LIENMIEN</t>
        </is>
      </c>
      <c r="C89" s="2" t="inlineStr">
        <is>
          <t>Liên miền</t>
        </is>
      </c>
      <c r="D89" s="3" t="n">
        <v>14.4</v>
      </c>
      <c r="E89" s="4">
        <f>IFERROR(VLOOKUP(B89,GiaCuoc!$A$2:$C$6,3,FALSE),"Kiểm tra mã dịch vụ")</f>
        <v/>
      </c>
      <c r="F89" s="2">
        <f>IF(E89="Kiểm tra mã dịch vụ","Cần kiểm tra","Đã tra cước")</f>
        <v/>
      </c>
      <c r="G89" s="5" t="n">
        <v>46293</v>
      </c>
    </row>
    <row r="90">
      <c r="A90" s="2" t="inlineStr">
        <is>
          <t>FM000089</t>
        </is>
      </c>
      <c r="B90" s="2" t="inlineStr">
        <is>
          <t>FM-HOATOC</t>
        </is>
      </c>
      <c r="C90" s="2" t="inlineStr">
        <is>
          <t>Hỏa tốc</t>
        </is>
      </c>
      <c r="D90" s="3" t="n">
        <v>15.7</v>
      </c>
      <c r="E90" s="4">
        <f>IFERROR(VLOOKUP(B90,GiaCuoc!$A$2:$C$6,3,FALSE),"Kiểm tra mã dịch vụ")</f>
        <v/>
      </c>
      <c r="F90" s="2">
        <f>IF(E90="Kiểm tra mã dịch vụ","Cần kiểm tra","Đã tra cước")</f>
        <v/>
      </c>
      <c r="G90" s="5" t="n">
        <v>46292</v>
      </c>
    </row>
    <row r="91">
      <c r="A91" s="2" t="inlineStr">
        <is>
          <t>FM000090</t>
        </is>
      </c>
      <c r="B91" s="2" t="inlineStr">
        <is>
          <t>FM-TIETKIEM</t>
        </is>
      </c>
      <c r="C91" s="2" t="inlineStr">
        <is>
          <t>Tiết kiệm</t>
        </is>
      </c>
      <c r="D91" s="3" t="n">
        <v>17</v>
      </c>
      <c r="E91" s="4">
        <f>IFERROR(VLOOKUP(B91,GiaCuoc!$A$2:$C$6,3,FALSE),"Kiểm tra mã dịch vụ")</f>
        <v/>
      </c>
      <c r="F91" s="2">
        <f>IF(E91="Kiểm tra mã dịch vụ","Cần kiểm tra","Đã tra cước")</f>
        <v/>
      </c>
      <c r="G91" s="5" t="n">
        <v>46321</v>
      </c>
    </row>
    <row r="92">
      <c r="A92" s="2" t="inlineStr">
        <is>
          <t>FM000091</t>
        </is>
      </c>
      <c r="B92" s="2" t="inlineStr">
        <is>
          <t>FM-NOIBAI</t>
        </is>
      </c>
      <c r="C92" s="2" t="inlineStr">
        <is>
          <t>Nội thành</t>
        </is>
      </c>
      <c r="D92" s="3" t="n">
        <v>18.3</v>
      </c>
      <c r="E92" s="4">
        <f>IFERROR(VLOOKUP(B92,GiaCuoc!$A$2:$C$6,3,FALSE),"Kiểm tra mã dịch vụ")</f>
        <v/>
      </c>
      <c r="F92" s="2">
        <f>IF(E92="Kiểm tra mã dịch vụ","Cần kiểm tra","Đã tra cước")</f>
        <v/>
      </c>
      <c r="G92" s="5" t="n">
        <v>46320</v>
      </c>
    </row>
    <row r="93">
      <c r="A93" s="2" t="inlineStr">
        <is>
          <t>FM000092</t>
        </is>
      </c>
      <c r="B93" s="2" t="inlineStr">
        <is>
          <t>FM-NGOAITHANH</t>
        </is>
      </c>
      <c r="C93" s="2" t="inlineStr">
        <is>
          <t>Ngoại thành</t>
        </is>
      </c>
      <c r="D93" s="3" t="n">
        <v>19.6</v>
      </c>
      <c r="E93" s="4">
        <f>IFERROR(VLOOKUP(B93,GiaCuoc!$A$2:$C$6,3,FALSE),"Kiểm tra mã dịch vụ")</f>
        <v/>
      </c>
      <c r="F93" s="2">
        <f>IF(E93="Kiểm tra mã dịch vụ","Cần kiểm tra","Đã tra cước")</f>
        <v/>
      </c>
      <c r="G93" s="5" t="n">
        <v>46319</v>
      </c>
    </row>
    <row r="94">
      <c r="A94" s="2" t="inlineStr">
        <is>
          <t>FM000093</t>
        </is>
      </c>
      <c r="B94" s="2" t="inlineStr">
        <is>
          <t>FM-LIENMIEN</t>
        </is>
      </c>
      <c r="C94" s="2" t="inlineStr">
        <is>
          <t>Liên miền</t>
        </is>
      </c>
      <c r="D94" s="3" t="n">
        <v>20.9</v>
      </c>
      <c r="E94" s="4">
        <f>IFERROR(VLOOKUP(B94,GiaCuoc!$A$2:$C$6,3,FALSE),"Kiểm tra mã dịch vụ")</f>
        <v/>
      </c>
      <c r="F94" s="2">
        <f>IF(E94="Kiểm tra mã dịch vụ","Cần kiểm tra","Đã tra cước")</f>
        <v/>
      </c>
      <c r="G94" s="5" t="n">
        <v>46318</v>
      </c>
    </row>
    <row r="95">
      <c r="A95" s="2" t="inlineStr">
        <is>
          <t>FM000094</t>
        </is>
      </c>
      <c r="B95" s="2" t="inlineStr">
        <is>
          <t>FM-HOATOC</t>
        </is>
      </c>
      <c r="C95" s="2" t="inlineStr">
        <is>
          <t>Hỏa tốc</t>
        </is>
      </c>
      <c r="D95" s="3" t="n">
        <v>22.2</v>
      </c>
      <c r="E95" s="4">
        <f>IFERROR(VLOOKUP(B95,GiaCuoc!$A$2:$C$6,3,FALSE),"Kiểm tra mã dịch vụ")</f>
        <v/>
      </c>
      <c r="F95" s="2">
        <f>IF(E95="Kiểm tra mã dịch vụ","Cần kiểm tra","Đã tra cước")</f>
        <v/>
      </c>
      <c r="G95" s="5" t="n">
        <v>46317</v>
      </c>
    </row>
    <row r="96">
      <c r="A96" s="2" t="inlineStr">
        <is>
          <t>FM000095</t>
        </is>
      </c>
      <c r="B96" s="2" t="inlineStr">
        <is>
          <t>FM-TIETKIEM</t>
        </is>
      </c>
      <c r="C96" s="2" t="inlineStr">
        <is>
          <t>Tiết kiệm</t>
        </is>
      </c>
      <c r="D96" s="3" t="n">
        <v>23.5</v>
      </c>
      <c r="E96" s="4">
        <f>IFERROR(VLOOKUP(B96,GiaCuoc!$A$2:$C$6,3,FALSE),"Kiểm tra mã dịch vụ")</f>
        <v/>
      </c>
      <c r="F96" s="2">
        <f>IF(E96="Kiểm tra mã dịch vụ","Cần kiểm tra","Đã tra cước")</f>
        <v/>
      </c>
      <c r="G96" s="5" t="n">
        <v>46316</v>
      </c>
    </row>
    <row r="97">
      <c r="A97" s="2" t="inlineStr">
        <is>
          <t>FM000096</t>
        </is>
      </c>
      <c r="B97" s="2" t="inlineStr">
        <is>
          <t>FM-NOIBAI</t>
        </is>
      </c>
      <c r="C97" s="2" t="inlineStr">
        <is>
          <t>Nội thành</t>
        </is>
      </c>
      <c r="D97" s="3" t="n">
        <v>24.8</v>
      </c>
      <c r="E97" s="4">
        <f>IFERROR(VLOOKUP(B97,GiaCuoc!$A$2:$C$6,3,FALSE),"Kiểm tra mã dịch vụ")</f>
        <v/>
      </c>
      <c r="F97" s="2">
        <f>IF(E97="Kiểm tra mã dịch vụ","Cần kiểm tra","Đã tra cước")</f>
        <v/>
      </c>
      <c r="G97" s="5" t="n">
        <v>46315</v>
      </c>
    </row>
    <row r="98">
      <c r="A98" s="2" t="inlineStr">
        <is>
          <t>FM000097</t>
        </is>
      </c>
      <c r="B98" s="2" t="inlineStr">
        <is>
          <t>FM-NGOAITHANH</t>
        </is>
      </c>
      <c r="C98" s="2" t="inlineStr">
        <is>
          <t>Ngoại thành</t>
        </is>
      </c>
      <c r="D98" s="3" t="n">
        <v>1.1</v>
      </c>
      <c r="E98" s="4">
        <f>IFERROR(VLOOKUP(B98,GiaCuoc!$A$2:$C$6,3,FALSE),"Kiểm tra mã dịch vụ")</f>
        <v/>
      </c>
      <c r="F98" s="2">
        <f>IF(E98="Kiểm tra mã dịch vụ","Cần kiểm tra","Đã tra cước")</f>
        <v/>
      </c>
      <c r="G98" s="5" t="n">
        <v>46314</v>
      </c>
    </row>
    <row r="99">
      <c r="A99" s="2" t="inlineStr">
        <is>
          <t>FM000098</t>
        </is>
      </c>
      <c r="B99" s="2" t="inlineStr">
        <is>
          <t>FM-LIENMIEN</t>
        </is>
      </c>
      <c r="C99" s="2" t="inlineStr">
        <is>
          <t>Liên miền</t>
        </is>
      </c>
      <c r="D99" s="3" t="n">
        <v>2.4</v>
      </c>
      <c r="E99" s="4">
        <f>IFERROR(VLOOKUP(B99,GiaCuoc!$A$2:$C$6,3,FALSE),"Kiểm tra mã dịch vụ")</f>
        <v/>
      </c>
      <c r="F99" s="2">
        <f>IF(E99="Kiểm tra mã dịch vụ","Cần kiểm tra","Đã tra cước")</f>
        <v/>
      </c>
      <c r="G99" s="5" t="n">
        <v>46313</v>
      </c>
    </row>
    <row r="100">
      <c r="A100" s="2" t="inlineStr">
        <is>
          <t>FM000099</t>
        </is>
      </c>
      <c r="B100" s="2" t="inlineStr">
        <is>
          <t>FM-HOATOC</t>
        </is>
      </c>
      <c r="C100" s="2" t="inlineStr">
        <is>
          <t>Hỏa tốc</t>
        </is>
      </c>
      <c r="D100" s="3" t="n">
        <v>3.7</v>
      </c>
      <c r="E100" s="4">
        <f>IFERROR(VLOOKUP(B100,GiaCuoc!$A$2:$C$6,3,FALSE),"Kiểm tra mã dịch vụ")</f>
        <v/>
      </c>
      <c r="F100" s="2">
        <f>IF(E100="Kiểm tra mã dịch vụ","Cần kiểm tra","Đã tra cước")</f>
        <v/>
      </c>
      <c r="G100" s="5" t="n">
        <v>46312</v>
      </c>
    </row>
    <row r="101">
      <c r="A101" s="2" t="inlineStr">
        <is>
          <t>FM000100</t>
        </is>
      </c>
      <c r="B101" s="2" t="inlineStr">
        <is>
          <t>FM-TIETKIEM</t>
        </is>
      </c>
      <c r="C101" s="2" t="inlineStr">
        <is>
          <t>Tiết kiệm</t>
        </is>
      </c>
      <c r="D101" s="3" t="n">
        <v>5</v>
      </c>
      <c r="E101" s="4">
        <f>IFERROR(VLOOKUP(B101,GiaCuoc!$A$2:$C$6,3,FALSE),"Kiểm tra mã dịch vụ")</f>
        <v/>
      </c>
      <c r="F101" s="2">
        <f>IF(E101="Kiểm tra mã dịch vụ","Cần kiểm tra","Đã tra cước")</f>
        <v/>
      </c>
      <c r="G101" s="5" t="n">
        <v>46311</v>
      </c>
    </row>
    <row r="102">
      <c r="A102" s="2" t="inlineStr">
        <is>
          <t>FM000101</t>
        </is>
      </c>
      <c r="B102" s="2" t="inlineStr">
        <is>
          <t>FM-NOIBAI</t>
        </is>
      </c>
      <c r="C102" s="2" t="inlineStr">
        <is>
          <t>Nội thành</t>
        </is>
      </c>
      <c r="D102" s="3" t="n">
        <v>6.3</v>
      </c>
      <c r="E102" s="4">
        <f>IFERROR(VLOOKUP(B102,GiaCuoc!$A$2:$C$6,3,FALSE),"Kiểm tra mã dịch vụ")</f>
        <v/>
      </c>
      <c r="F102" s="2">
        <f>IF(E102="Kiểm tra mã dịch vụ","Cần kiểm tra","Đã tra cước")</f>
        <v/>
      </c>
      <c r="G102" s="5" t="n">
        <v>46310</v>
      </c>
    </row>
    <row r="103">
      <c r="A103" s="2" t="inlineStr">
        <is>
          <t>FM000102</t>
        </is>
      </c>
      <c r="B103" s="2" t="inlineStr">
        <is>
          <t>FM-NGOAITHANH</t>
        </is>
      </c>
      <c r="C103" s="2" t="inlineStr">
        <is>
          <t>Ngoại thành</t>
        </is>
      </c>
      <c r="D103" s="3" t="n">
        <v>7.6</v>
      </c>
      <c r="E103" s="4">
        <f>IFERROR(VLOOKUP(B103,GiaCuoc!$A$2:$C$6,3,FALSE),"Kiểm tra mã dịch vụ")</f>
        <v/>
      </c>
      <c r="F103" s="2">
        <f>IF(E103="Kiểm tra mã dịch vụ","Cần kiểm tra","Đã tra cước")</f>
        <v/>
      </c>
      <c r="G103" s="5" t="n">
        <v>46309</v>
      </c>
    </row>
    <row r="104">
      <c r="A104" s="2" t="inlineStr">
        <is>
          <t>FM000103</t>
        </is>
      </c>
      <c r="B104" s="2" t="inlineStr">
        <is>
          <t>FM-LIENMIEN</t>
        </is>
      </c>
      <c r="C104" s="2" t="inlineStr">
        <is>
          <t>Liên miền</t>
        </is>
      </c>
      <c r="D104" s="3" t="n">
        <v>8.9</v>
      </c>
      <c r="E104" s="4">
        <f>IFERROR(VLOOKUP(B104,GiaCuoc!$A$2:$C$6,3,FALSE),"Kiểm tra mã dịch vụ")</f>
        <v/>
      </c>
      <c r="F104" s="2">
        <f>IF(E104="Kiểm tra mã dịch vụ","Cần kiểm tra","Đã tra cước")</f>
        <v/>
      </c>
      <c r="G104" s="5" t="n">
        <v>46308</v>
      </c>
    </row>
    <row r="105">
      <c r="A105" s="2" t="inlineStr">
        <is>
          <t>FM000104</t>
        </is>
      </c>
      <c r="B105" s="2" t="inlineStr">
        <is>
          <t>FM-HOATOC</t>
        </is>
      </c>
      <c r="C105" s="2" t="inlineStr">
        <is>
          <t>Hỏa tốc</t>
        </is>
      </c>
      <c r="D105" s="3" t="n">
        <v>10.2</v>
      </c>
      <c r="E105" s="4">
        <f>IFERROR(VLOOKUP(B105,GiaCuoc!$A$2:$C$6,3,FALSE),"Kiểm tra mã dịch vụ")</f>
        <v/>
      </c>
      <c r="F105" s="2">
        <f>IF(E105="Kiểm tra mã dịch vụ","Cần kiểm tra","Đã tra cước")</f>
        <v/>
      </c>
      <c r="G105" s="5" t="n">
        <v>46307</v>
      </c>
    </row>
    <row r="106">
      <c r="A106" s="2" t="inlineStr">
        <is>
          <t>FM000105</t>
        </is>
      </c>
      <c r="B106" s="2" t="inlineStr">
        <is>
          <t>FM-TIETKIEM</t>
        </is>
      </c>
      <c r="C106" s="2" t="inlineStr">
        <is>
          <t>Tiết kiệm</t>
        </is>
      </c>
      <c r="D106" s="3" t="n">
        <v>11.5</v>
      </c>
      <c r="E106" s="4">
        <f>IFERROR(VLOOKUP(B106,GiaCuoc!$A$2:$C$6,3,FALSE),"Kiểm tra mã dịch vụ")</f>
        <v/>
      </c>
      <c r="F106" s="2">
        <f>IF(E106="Kiểm tra mã dịch vụ","Cần kiểm tra","Đã tra cước")</f>
        <v/>
      </c>
      <c r="G106" s="5" t="n">
        <v>46306</v>
      </c>
    </row>
    <row r="107">
      <c r="A107" s="2" t="inlineStr">
        <is>
          <t>FM000106</t>
        </is>
      </c>
      <c r="B107" s="2" t="inlineStr">
        <is>
          <t>FM-NOIBAI</t>
        </is>
      </c>
      <c r="C107" s="2" t="inlineStr">
        <is>
          <t>Nội thành</t>
        </is>
      </c>
      <c r="D107" s="3" t="n">
        <v>12.8</v>
      </c>
      <c r="E107" s="4">
        <f>IFERROR(VLOOKUP(B107,GiaCuoc!$A$2:$C$6,3,FALSE),"Kiểm tra mã dịch vụ")</f>
        <v/>
      </c>
      <c r="F107" s="2">
        <f>IF(E107="Kiểm tra mã dịch vụ","Cần kiểm tra","Đã tra cước")</f>
        <v/>
      </c>
      <c r="G107" s="5" t="n">
        <v>46305</v>
      </c>
    </row>
    <row r="108">
      <c r="A108" s="2" t="inlineStr">
        <is>
          <t>FM000107</t>
        </is>
      </c>
      <c r="B108" s="2" t="inlineStr">
        <is>
          <t>FM-NGOAITHANH</t>
        </is>
      </c>
      <c r="C108" s="2" t="inlineStr">
        <is>
          <t>Ngoại thành</t>
        </is>
      </c>
      <c r="D108" s="3" t="n">
        <v>14.1</v>
      </c>
      <c r="E108" s="4">
        <f>IFERROR(VLOOKUP(B108,GiaCuoc!$A$2:$C$6,3,FALSE),"Kiểm tra mã dịch vụ")</f>
        <v/>
      </c>
      <c r="F108" s="2">
        <f>IF(E108="Kiểm tra mã dịch vụ","Cần kiểm tra","Đã tra cước")</f>
        <v/>
      </c>
      <c r="G108" s="5" t="n">
        <v>46304</v>
      </c>
    </row>
    <row r="109">
      <c r="A109" s="2" t="inlineStr">
        <is>
          <t>FM000108</t>
        </is>
      </c>
      <c r="B109" s="2" t="inlineStr">
        <is>
          <t>FM-LIENMIEN</t>
        </is>
      </c>
      <c r="C109" s="2" t="inlineStr">
        <is>
          <t>Liên miền</t>
        </is>
      </c>
      <c r="D109" s="3" t="n">
        <v>15.4</v>
      </c>
      <c r="E109" s="4">
        <f>IFERROR(VLOOKUP(B109,GiaCuoc!$A$2:$C$6,3,FALSE),"Kiểm tra mã dịch vụ")</f>
        <v/>
      </c>
      <c r="F109" s="2">
        <f>IF(E109="Kiểm tra mã dịch vụ","Cần kiểm tra","Đã tra cước")</f>
        <v/>
      </c>
      <c r="G109" s="5" t="n">
        <v>46303</v>
      </c>
    </row>
    <row r="110">
      <c r="A110" s="2" t="inlineStr">
        <is>
          <t>FM000109</t>
        </is>
      </c>
      <c r="B110" s="2" t="inlineStr">
        <is>
          <t>FM-HOATOC</t>
        </is>
      </c>
      <c r="C110" s="2" t="inlineStr">
        <is>
          <t>Hỏa tốc</t>
        </is>
      </c>
      <c r="D110" s="3" t="n">
        <v>16.7</v>
      </c>
      <c r="E110" s="4">
        <f>IFERROR(VLOOKUP(B110,GiaCuoc!$A$2:$C$6,3,FALSE),"Kiểm tra mã dịch vụ")</f>
        <v/>
      </c>
      <c r="F110" s="2">
        <f>IF(E110="Kiểm tra mã dịch vụ","Cần kiểm tra","Đã tra cước")</f>
        <v/>
      </c>
      <c r="G110" s="5" t="n">
        <v>46302</v>
      </c>
    </row>
    <row r="111">
      <c r="A111" s="2" t="inlineStr">
        <is>
          <t>FM000110</t>
        </is>
      </c>
      <c r="B111" s="2" t="inlineStr">
        <is>
          <t>FM-TIETKIEM</t>
        </is>
      </c>
      <c r="C111" s="2" t="inlineStr">
        <is>
          <t>Tiết kiệm</t>
        </is>
      </c>
      <c r="D111" s="3" t="n">
        <v>18</v>
      </c>
      <c r="E111" s="4">
        <f>IFERROR(VLOOKUP(B111,GiaCuoc!$A$2:$C$6,3,FALSE),"Kiểm tra mã dịch vụ")</f>
        <v/>
      </c>
      <c r="F111" s="2">
        <f>IF(E111="Kiểm tra mã dịch vụ","Cần kiểm tra","Đã tra cước")</f>
        <v/>
      </c>
      <c r="G111" s="5" t="n">
        <v>46301</v>
      </c>
    </row>
    <row r="112">
      <c r="A112" s="2" t="inlineStr">
        <is>
          <t>FM000111</t>
        </is>
      </c>
      <c r="B112" s="2" t="inlineStr">
        <is>
          <t>FM-NOIBAI</t>
        </is>
      </c>
      <c r="C112" s="2" t="inlineStr">
        <is>
          <t>Nội thành</t>
        </is>
      </c>
      <c r="D112" s="3" t="n">
        <v>19.3</v>
      </c>
      <c r="E112" s="4">
        <f>IFERROR(VLOOKUP(B112,GiaCuoc!$A$2:$C$6,3,FALSE),"Kiểm tra mã dịch vụ")</f>
        <v/>
      </c>
      <c r="F112" s="2">
        <f>IF(E112="Kiểm tra mã dịch vụ","Cần kiểm tra","Đã tra cước")</f>
        <v/>
      </c>
      <c r="G112" s="5" t="n">
        <v>46300</v>
      </c>
    </row>
    <row r="113">
      <c r="A113" s="2" t="inlineStr">
        <is>
          <t>FM000112</t>
        </is>
      </c>
      <c r="B113" s="2" t="inlineStr">
        <is>
          <t>FM-NGOAITHANH</t>
        </is>
      </c>
      <c r="C113" s="2" t="inlineStr">
        <is>
          <t>Ngoại thành</t>
        </is>
      </c>
      <c r="D113" s="3" t="n">
        <v>20.6</v>
      </c>
      <c r="E113" s="4">
        <f>IFERROR(VLOOKUP(B113,GiaCuoc!$A$2:$C$6,3,FALSE),"Kiểm tra mã dịch vụ")</f>
        <v/>
      </c>
      <c r="F113" s="2">
        <f>IF(E113="Kiểm tra mã dịch vụ","Cần kiểm tra","Đã tra cước")</f>
        <v/>
      </c>
      <c r="G113" s="5" t="n">
        <v>46299</v>
      </c>
    </row>
    <row r="114">
      <c r="A114" s="2" t="inlineStr">
        <is>
          <t>FM000113</t>
        </is>
      </c>
      <c r="B114" s="2" t="inlineStr">
        <is>
          <t>FM-LIENMIEN</t>
        </is>
      </c>
      <c r="C114" s="2" t="inlineStr">
        <is>
          <t>Liên miền</t>
        </is>
      </c>
      <c r="D114" s="3" t="n">
        <v>21.9</v>
      </c>
      <c r="E114" s="4">
        <f>IFERROR(VLOOKUP(B114,GiaCuoc!$A$2:$C$6,3,FALSE),"Kiểm tra mã dịch vụ")</f>
        <v/>
      </c>
      <c r="F114" s="2">
        <f>IF(E114="Kiểm tra mã dịch vụ","Cần kiểm tra","Đã tra cước")</f>
        <v/>
      </c>
      <c r="G114" s="5" t="n">
        <v>46298</v>
      </c>
    </row>
    <row r="115">
      <c r="A115" s="2" t="inlineStr">
        <is>
          <t>FM000114</t>
        </is>
      </c>
      <c r="B115" s="2" t="inlineStr">
        <is>
          <t>FM-HOATOC</t>
        </is>
      </c>
      <c r="C115" s="2" t="inlineStr">
        <is>
          <t>Hỏa tốc</t>
        </is>
      </c>
      <c r="D115" s="3" t="n">
        <v>23.2</v>
      </c>
      <c r="E115" s="4">
        <f>IFERROR(VLOOKUP(B115,GiaCuoc!$A$2:$C$6,3,FALSE),"Kiểm tra mã dịch vụ")</f>
        <v/>
      </c>
      <c r="F115" s="2">
        <f>IF(E115="Kiểm tra mã dịch vụ","Cần kiểm tra","Đã tra cước")</f>
        <v/>
      </c>
      <c r="G115" s="5" t="n">
        <v>46297</v>
      </c>
    </row>
    <row r="116">
      <c r="A116" s="2" t="inlineStr">
        <is>
          <t>FM000115</t>
        </is>
      </c>
      <c r="B116" s="2" t="inlineStr">
        <is>
          <t>FM-TIETKIEM</t>
        </is>
      </c>
      <c r="C116" s="2" t="inlineStr">
        <is>
          <t>Tiết kiệm</t>
        </is>
      </c>
      <c r="D116" s="3" t="n">
        <v>24.5</v>
      </c>
      <c r="E116" s="4">
        <f>IFERROR(VLOOKUP(B116,GiaCuoc!$A$2:$C$6,3,FALSE),"Kiểm tra mã dịch vụ")</f>
        <v/>
      </c>
      <c r="F116" s="2">
        <f>IF(E116="Kiểm tra mã dịch vụ","Cần kiểm tra","Đã tra cước")</f>
        <v/>
      </c>
      <c r="G116" s="5" t="n">
        <v>46296</v>
      </c>
    </row>
    <row r="117">
      <c r="A117" s="2" t="inlineStr">
        <is>
          <t>FM000116</t>
        </is>
      </c>
      <c r="B117" s="2" t="inlineStr">
        <is>
          <t>FM-NOIBAI</t>
        </is>
      </c>
      <c r="C117" s="2" t="inlineStr">
        <is>
          <t>Nội thành</t>
        </is>
      </c>
      <c r="D117" s="3" t="n">
        <v>0.8</v>
      </c>
      <c r="E117" s="4">
        <f>IFERROR(VLOOKUP(B117,GiaCuoc!$A$2:$C$6,3,FALSE),"Kiểm tra mã dịch vụ")</f>
        <v/>
      </c>
      <c r="F117" s="2">
        <f>IF(E117="Kiểm tra mã dịch vụ","Cần kiểm tra","Đã tra cước")</f>
        <v/>
      </c>
      <c r="G117" s="5" t="n">
        <v>46295</v>
      </c>
    </row>
    <row r="118">
      <c r="A118" s="2" t="inlineStr">
        <is>
          <t>FM000117</t>
        </is>
      </c>
      <c r="B118" s="2" t="inlineStr">
        <is>
          <t>FM-NGOAITHANH</t>
        </is>
      </c>
      <c r="C118" s="2" t="inlineStr">
        <is>
          <t>Ngoại thành</t>
        </is>
      </c>
      <c r="D118" s="3" t="n">
        <v>2.1</v>
      </c>
      <c r="E118" s="4">
        <f>IFERROR(VLOOKUP(B118,GiaCuoc!$A$2:$C$6,3,FALSE),"Kiểm tra mã dịch vụ")</f>
        <v/>
      </c>
      <c r="F118" s="2">
        <f>IF(E118="Kiểm tra mã dịch vụ","Cần kiểm tra","Đã tra cước")</f>
        <v/>
      </c>
      <c r="G118" s="5" t="n">
        <v>46294</v>
      </c>
    </row>
    <row r="119">
      <c r="A119" s="2" t="inlineStr">
        <is>
          <t>FM000118</t>
        </is>
      </c>
      <c r="B119" s="2" t="inlineStr">
        <is>
          <t>FM-LIENMIEN</t>
        </is>
      </c>
      <c r="C119" s="2" t="inlineStr">
        <is>
          <t>Liên miền</t>
        </is>
      </c>
      <c r="D119" s="3" t="n">
        <v>3.4</v>
      </c>
      <c r="E119" s="4">
        <f>IFERROR(VLOOKUP(B119,GiaCuoc!$A$2:$C$6,3,FALSE),"Kiểm tra mã dịch vụ")</f>
        <v/>
      </c>
      <c r="F119" s="2">
        <f>IF(E119="Kiểm tra mã dịch vụ","Cần kiểm tra","Đã tra cước")</f>
        <v/>
      </c>
      <c r="G119" s="5" t="n">
        <v>46293</v>
      </c>
    </row>
    <row r="120">
      <c r="A120" s="2" t="inlineStr">
        <is>
          <t>FM000119</t>
        </is>
      </c>
      <c r="B120" s="2" t="inlineStr">
        <is>
          <t>FM-HOATOC</t>
        </is>
      </c>
      <c r="C120" s="2" t="inlineStr">
        <is>
          <t>Hỏa tốc</t>
        </is>
      </c>
      <c r="D120" s="3" t="n">
        <v>4.7</v>
      </c>
      <c r="E120" s="4">
        <f>IFERROR(VLOOKUP(B120,GiaCuoc!$A$2:$C$6,3,FALSE),"Kiểm tra mã dịch vụ")</f>
        <v/>
      </c>
      <c r="F120" s="2">
        <f>IF(E120="Kiểm tra mã dịch vụ","Cần kiểm tra","Đã tra cước")</f>
        <v/>
      </c>
      <c r="G120" s="5" t="n">
        <v>46292</v>
      </c>
    </row>
    <row r="121">
      <c r="A121" s="2" t="inlineStr">
        <is>
          <t>FM000120</t>
        </is>
      </c>
      <c r="B121" s="2" t="inlineStr">
        <is>
          <t>FM-TIETKIEM</t>
        </is>
      </c>
      <c r="C121" s="2" t="inlineStr">
        <is>
          <t>Tiết kiệm</t>
        </is>
      </c>
      <c r="D121" s="3" t="n">
        <v>6</v>
      </c>
      <c r="E121" s="4">
        <f>IFERROR(VLOOKUP(B121,GiaCuoc!$A$2:$C$6,3,FALSE),"Kiểm tra mã dịch vụ")</f>
        <v/>
      </c>
      <c r="F121" s="2">
        <f>IF(E121="Kiểm tra mã dịch vụ","Cần kiểm tra","Đã tra cước")</f>
        <v/>
      </c>
      <c r="G121" s="5" t="n">
        <v>46321</v>
      </c>
    </row>
    <row r="122">
      <c r="A122" s="2" t="inlineStr">
        <is>
          <t>FM000121</t>
        </is>
      </c>
      <c r="B122" s="2" t="inlineStr">
        <is>
          <t>FM-NOIBAI</t>
        </is>
      </c>
      <c r="C122" s="2" t="inlineStr">
        <is>
          <t>Nội thành</t>
        </is>
      </c>
      <c r="D122" s="3" t="n">
        <v>7.3</v>
      </c>
      <c r="E122" s="4">
        <f>IFERROR(VLOOKUP(B122,GiaCuoc!$A$2:$C$6,3,FALSE),"Kiểm tra mã dịch vụ")</f>
        <v/>
      </c>
      <c r="F122" s="2">
        <f>IF(E122="Kiểm tra mã dịch vụ","Cần kiểm tra","Đã tra cước")</f>
        <v/>
      </c>
      <c r="G122" s="5" t="n">
        <v>46320</v>
      </c>
    </row>
    <row r="123">
      <c r="A123" s="2" t="inlineStr">
        <is>
          <t>FM000122</t>
        </is>
      </c>
      <c r="B123" s="2" t="inlineStr">
        <is>
          <t>FM-NGOAITHANH</t>
        </is>
      </c>
      <c r="C123" s="2" t="inlineStr">
        <is>
          <t>Ngoại thành</t>
        </is>
      </c>
      <c r="D123" s="3" t="n">
        <v>8.6</v>
      </c>
      <c r="E123" s="4">
        <f>IFERROR(VLOOKUP(B123,GiaCuoc!$A$2:$C$6,3,FALSE),"Kiểm tra mã dịch vụ")</f>
        <v/>
      </c>
      <c r="F123" s="2">
        <f>IF(E123="Kiểm tra mã dịch vụ","Cần kiểm tra","Đã tra cước")</f>
        <v/>
      </c>
      <c r="G123" s="5" t="n">
        <v>46319</v>
      </c>
    </row>
    <row r="124">
      <c r="A124" s="2" t="inlineStr">
        <is>
          <t>FM000123</t>
        </is>
      </c>
      <c r="B124" s="2" t="inlineStr">
        <is>
          <t>FM-LIENMIEN</t>
        </is>
      </c>
      <c r="C124" s="2" t="inlineStr">
        <is>
          <t>Liên miền</t>
        </is>
      </c>
      <c r="D124" s="3" t="n">
        <v>9.9</v>
      </c>
      <c r="E124" s="4">
        <f>IFERROR(VLOOKUP(B124,GiaCuoc!$A$2:$C$6,3,FALSE),"Kiểm tra mã dịch vụ")</f>
        <v/>
      </c>
      <c r="F124" s="2">
        <f>IF(E124="Kiểm tra mã dịch vụ","Cần kiểm tra","Đã tra cước")</f>
        <v/>
      </c>
      <c r="G124" s="5" t="n">
        <v>46318</v>
      </c>
    </row>
    <row r="125">
      <c r="A125" s="2" t="inlineStr">
        <is>
          <t>FM000124</t>
        </is>
      </c>
      <c r="B125" s="2" t="inlineStr">
        <is>
          <t>FM-HOATOC</t>
        </is>
      </c>
      <c r="C125" s="2" t="inlineStr">
        <is>
          <t>Hỏa tốc</t>
        </is>
      </c>
      <c r="D125" s="3" t="n">
        <v>11.2</v>
      </c>
      <c r="E125" s="4">
        <f>IFERROR(VLOOKUP(B125,GiaCuoc!$A$2:$C$6,3,FALSE),"Kiểm tra mã dịch vụ")</f>
        <v/>
      </c>
      <c r="F125" s="2">
        <f>IF(E125="Kiểm tra mã dịch vụ","Cần kiểm tra","Đã tra cước")</f>
        <v/>
      </c>
      <c r="G125" s="5" t="n">
        <v>46317</v>
      </c>
    </row>
    <row r="126">
      <c r="A126" s="2" t="inlineStr">
        <is>
          <t>FM000125</t>
        </is>
      </c>
      <c r="B126" s="2" t="inlineStr">
        <is>
          <t>FM-TIETKIEM</t>
        </is>
      </c>
      <c r="C126" s="2" t="inlineStr">
        <is>
          <t>Tiết kiệm</t>
        </is>
      </c>
      <c r="D126" s="3" t="n">
        <v>12.5</v>
      </c>
      <c r="E126" s="4">
        <f>IFERROR(VLOOKUP(B126,GiaCuoc!$A$2:$C$6,3,FALSE),"Kiểm tra mã dịch vụ")</f>
        <v/>
      </c>
      <c r="F126" s="2">
        <f>IF(E126="Kiểm tra mã dịch vụ","Cần kiểm tra","Đã tra cước")</f>
        <v/>
      </c>
      <c r="G126" s="5" t="n">
        <v>46316</v>
      </c>
    </row>
    <row r="127">
      <c r="A127" s="2" t="inlineStr">
        <is>
          <t>FM000126</t>
        </is>
      </c>
      <c r="B127" s="2" t="inlineStr">
        <is>
          <t>FM-NOIBAI</t>
        </is>
      </c>
      <c r="C127" s="2" t="inlineStr">
        <is>
          <t>Nội thành</t>
        </is>
      </c>
      <c r="D127" s="3" t="n">
        <v>13.8</v>
      </c>
      <c r="E127" s="4">
        <f>IFERROR(VLOOKUP(B127,GiaCuoc!$A$2:$C$6,3,FALSE),"Kiểm tra mã dịch vụ")</f>
        <v/>
      </c>
      <c r="F127" s="2">
        <f>IF(E127="Kiểm tra mã dịch vụ","Cần kiểm tra","Đã tra cước")</f>
        <v/>
      </c>
      <c r="G127" s="5" t="n">
        <v>46315</v>
      </c>
    </row>
    <row r="128">
      <c r="A128" s="2" t="inlineStr">
        <is>
          <t>FM000127</t>
        </is>
      </c>
      <c r="B128" s="2" t="inlineStr">
        <is>
          <t>FM-NGOAITHANH</t>
        </is>
      </c>
      <c r="C128" s="2" t="inlineStr">
        <is>
          <t>Ngoại thành</t>
        </is>
      </c>
      <c r="D128" s="3" t="n">
        <v>15.1</v>
      </c>
      <c r="E128" s="4">
        <f>IFERROR(VLOOKUP(B128,GiaCuoc!$A$2:$C$6,3,FALSE),"Kiểm tra mã dịch vụ")</f>
        <v/>
      </c>
      <c r="F128" s="2">
        <f>IF(E128="Kiểm tra mã dịch vụ","Cần kiểm tra","Đã tra cước")</f>
        <v/>
      </c>
      <c r="G128" s="5" t="n">
        <v>46314</v>
      </c>
    </row>
    <row r="129">
      <c r="A129" s="2" t="inlineStr">
        <is>
          <t>FM000128</t>
        </is>
      </c>
      <c r="B129" s="2" t="inlineStr">
        <is>
          <t>FM-LIENMIEN</t>
        </is>
      </c>
      <c r="C129" s="2" t="inlineStr">
        <is>
          <t>Liên miền</t>
        </is>
      </c>
      <c r="D129" s="3" t="n">
        <v>16.4</v>
      </c>
      <c r="E129" s="4">
        <f>IFERROR(VLOOKUP(B129,GiaCuoc!$A$2:$C$6,3,FALSE),"Kiểm tra mã dịch vụ")</f>
        <v/>
      </c>
      <c r="F129" s="2">
        <f>IF(E129="Kiểm tra mã dịch vụ","Cần kiểm tra","Đã tra cước")</f>
        <v/>
      </c>
      <c r="G129" s="5" t="n">
        <v>46313</v>
      </c>
    </row>
    <row r="130">
      <c r="A130" s="2" t="inlineStr">
        <is>
          <t>FM000129</t>
        </is>
      </c>
      <c r="B130" s="2" t="inlineStr">
        <is>
          <t>FM-HOATOC</t>
        </is>
      </c>
      <c r="C130" s="2" t="inlineStr">
        <is>
          <t>Hỏa tốc</t>
        </is>
      </c>
      <c r="D130" s="3" t="n">
        <v>17.7</v>
      </c>
      <c r="E130" s="4">
        <f>IFERROR(VLOOKUP(B130,GiaCuoc!$A$2:$C$6,3,FALSE),"Kiểm tra mã dịch vụ")</f>
        <v/>
      </c>
      <c r="F130" s="2">
        <f>IF(E130="Kiểm tra mã dịch vụ","Cần kiểm tra","Đã tra cước")</f>
        <v/>
      </c>
      <c r="G130" s="5" t="n">
        <v>46312</v>
      </c>
    </row>
    <row r="131">
      <c r="A131" s="2" t="inlineStr">
        <is>
          <t>FM000130</t>
        </is>
      </c>
      <c r="B131" s="2" t="inlineStr">
        <is>
          <t>FM-TIETKIEM</t>
        </is>
      </c>
      <c r="C131" s="2" t="inlineStr">
        <is>
          <t>Tiết kiệm</t>
        </is>
      </c>
      <c r="D131" s="3" t="n">
        <v>19</v>
      </c>
      <c r="E131" s="4">
        <f>IFERROR(VLOOKUP(B131,GiaCuoc!$A$2:$C$6,3,FALSE),"Kiểm tra mã dịch vụ")</f>
        <v/>
      </c>
      <c r="F131" s="2">
        <f>IF(E131="Kiểm tra mã dịch vụ","Cần kiểm tra","Đã tra cước")</f>
        <v/>
      </c>
      <c r="G131" s="5" t="n">
        <v>46311</v>
      </c>
    </row>
    <row r="132">
      <c r="A132" s="2" t="inlineStr">
        <is>
          <t>FM000131</t>
        </is>
      </c>
      <c r="B132" s="2" t="inlineStr">
        <is>
          <t>FM-NOIBAI</t>
        </is>
      </c>
      <c r="C132" s="2" t="inlineStr">
        <is>
          <t>Nội thành</t>
        </is>
      </c>
      <c r="D132" s="3" t="n">
        <v>20.3</v>
      </c>
      <c r="E132" s="4">
        <f>IFERROR(VLOOKUP(B132,GiaCuoc!$A$2:$C$6,3,FALSE),"Kiểm tra mã dịch vụ")</f>
        <v/>
      </c>
      <c r="F132" s="2">
        <f>IF(E132="Kiểm tra mã dịch vụ","Cần kiểm tra","Đã tra cước")</f>
        <v/>
      </c>
      <c r="G132" s="5" t="n">
        <v>46310</v>
      </c>
    </row>
    <row r="133">
      <c r="A133" s="2" t="inlineStr">
        <is>
          <t>FM000132</t>
        </is>
      </c>
      <c r="B133" s="2" t="inlineStr">
        <is>
          <t>FM-NGOAITHANH</t>
        </is>
      </c>
      <c r="C133" s="2" t="inlineStr">
        <is>
          <t>Ngoại thành</t>
        </is>
      </c>
      <c r="D133" s="3" t="n">
        <v>21.6</v>
      </c>
      <c r="E133" s="4">
        <f>IFERROR(VLOOKUP(B133,GiaCuoc!$A$2:$C$6,3,FALSE),"Kiểm tra mã dịch vụ")</f>
        <v/>
      </c>
      <c r="F133" s="2">
        <f>IF(E133="Kiểm tra mã dịch vụ","Cần kiểm tra","Đã tra cước")</f>
        <v/>
      </c>
      <c r="G133" s="5" t="n">
        <v>46309</v>
      </c>
    </row>
    <row r="134">
      <c r="A134" s="2" t="inlineStr">
        <is>
          <t xml:space="preserve"> FM000133#</t>
        </is>
      </c>
      <c r="B134" s="2" t="inlineStr">
        <is>
          <t>FM-LIENMIEN</t>
        </is>
      </c>
      <c r="C134" s="2" t="inlineStr">
        <is>
          <t>Liên miền</t>
        </is>
      </c>
      <c r="D134" s="3" t="n">
        <v>22.9</v>
      </c>
      <c r="E134" s="4">
        <f>IFERROR(VLOOKUP(B134,GiaCuoc!$A$2:$C$6,3,FALSE),"Kiểm tra mã dịch vụ")</f>
        <v/>
      </c>
      <c r="F134" s="2">
        <f>IF(E134="Kiểm tra mã dịch vụ","Cần kiểm tra","Đã tra cước")</f>
        <v/>
      </c>
      <c r="G134" s="5" t="n">
        <v>46308</v>
      </c>
    </row>
    <row r="135">
      <c r="A135" s="2" t="inlineStr">
        <is>
          <t>FM000134</t>
        </is>
      </c>
      <c r="B135" s="2" t="inlineStr">
        <is>
          <t>FM-HOATOC</t>
        </is>
      </c>
      <c r="C135" s="2" t="inlineStr">
        <is>
          <t>Hỏa tốc</t>
        </is>
      </c>
      <c r="D135" s="3" t="n">
        <v>24.2</v>
      </c>
      <c r="E135" s="4">
        <f>IFERROR(VLOOKUP(B135,GiaCuoc!$A$2:$C$6,3,FALSE),"Kiểm tra mã dịch vụ")</f>
        <v/>
      </c>
      <c r="F135" s="2">
        <f>IF(E135="Kiểm tra mã dịch vụ","Cần kiểm tra","Đã tra cước")</f>
        <v/>
      </c>
      <c r="G135" s="5" t="n">
        <v>46307</v>
      </c>
    </row>
    <row r="136">
      <c r="A136" s="2" t="inlineStr">
        <is>
          <t>FM000135</t>
        </is>
      </c>
      <c r="B136" s="2" t="inlineStr">
        <is>
          <t>FM-TIETKIEM</t>
        </is>
      </c>
      <c r="C136" s="2" t="inlineStr">
        <is>
          <t>Tiết kiệm</t>
        </is>
      </c>
      <c r="D136" s="3" t="n">
        <v>0.5</v>
      </c>
      <c r="E136" s="4">
        <f>IFERROR(VLOOKUP(B136,GiaCuoc!$A$2:$C$6,3,FALSE),"Kiểm tra mã dịch vụ")</f>
        <v/>
      </c>
      <c r="F136" s="2">
        <f>IF(E136="Kiểm tra mã dịch vụ","Cần kiểm tra","Đã tra cước")</f>
        <v/>
      </c>
      <c r="G136" s="5" t="n">
        <v>46306</v>
      </c>
    </row>
    <row r="137">
      <c r="A137" s="2" t="inlineStr">
        <is>
          <t>FM000136</t>
        </is>
      </c>
      <c r="B137" s="2" t="inlineStr">
        <is>
          <t>FM-NOIBAI</t>
        </is>
      </c>
      <c r="C137" s="2" t="inlineStr">
        <is>
          <t>Nội thành</t>
        </is>
      </c>
      <c r="D137" s="3" t="n">
        <v>1.8</v>
      </c>
      <c r="E137" s="4">
        <f>IFERROR(VLOOKUP(B137,GiaCuoc!$A$2:$C$6,3,FALSE),"Kiểm tra mã dịch vụ")</f>
        <v/>
      </c>
      <c r="F137" s="2">
        <f>IF(E137="Kiểm tra mã dịch vụ","Cần kiểm tra","Đã tra cước")</f>
        <v/>
      </c>
      <c r="G137" s="5" t="n">
        <v>46305</v>
      </c>
    </row>
    <row r="138">
      <c r="A138" s="2" t="inlineStr">
        <is>
          <t>FM000137</t>
        </is>
      </c>
      <c r="B138" s="2" t="inlineStr">
        <is>
          <t>FM-NGOAITHANH</t>
        </is>
      </c>
      <c r="C138" s="2" t="inlineStr">
        <is>
          <t>Ngoại thành</t>
        </is>
      </c>
      <c r="D138" s="3" t="n">
        <v>3.1</v>
      </c>
      <c r="E138" s="4">
        <f>IFERROR(VLOOKUP(B138,GiaCuoc!$A$2:$C$6,3,FALSE),"Kiểm tra mã dịch vụ")</f>
        <v/>
      </c>
      <c r="F138" s="2">
        <f>IF(E138="Kiểm tra mã dịch vụ","Cần kiểm tra","Đã tra cước")</f>
        <v/>
      </c>
      <c r="G138" s="5" t="n">
        <v>46304</v>
      </c>
    </row>
    <row r="139">
      <c r="A139" s="2" t="inlineStr">
        <is>
          <t>FM000138</t>
        </is>
      </c>
      <c r="B139" s="2" t="inlineStr">
        <is>
          <t>FM-LIENMIEN</t>
        </is>
      </c>
      <c r="C139" s="2" t="inlineStr">
        <is>
          <t>Liên miền</t>
        </is>
      </c>
      <c r="D139" s="3" t="n">
        <v>4.4</v>
      </c>
      <c r="E139" s="4">
        <f>IFERROR(VLOOKUP(B139,GiaCuoc!$A$2:$C$6,3,FALSE),"Kiểm tra mã dịch vụ")</f>
        <v/>
      </c>
      <c r="F139" s="2">
        <f>IF(E139="Kiểm tra mã dịch vụ","Cần kiểm tra","Đã tra cước")</f>
        <v/>
      </c>
      <c r="G139" s="5" t="n">
        <v>46303</v>
      </c>
    </row>
    <row r="140">
      <c r="A140" s="2" t="inlineStr">
        <is>
          <t>FM000139</t>
        </is>
      </c>
      <c r="B140" s="2" t="inlineStr">
        <is>
          <t>FM-HOATOC</t>
        </is>
      </c>
      <c r="C140" s="2" t="inlineStr">
        <is>
          <t>Hỏa tốc</t>
        </is>
      </c>
      <c r="D140" s="3" t="n">
        <v>5.7</v>
      </c>
      <c r="E140" s="4">
        <f>IFERROR(VLOOKUP(B140,GiaCuoc!$A$2:$C$6,3,FALSE),"Kiểm tra mã dịch vụ")</f>
        <v/>
      </c>
      <c r="F140" s="2">
        <f>IF(E140="Kiểm tra mã dịch vụ","Cần kiểm tra","Đã tra cước")</f>
        <v/>
      </c>
      <c r="G140" s="5" t="n">
        <v>46302</v>
      </c>
    </row>
    <row r="141">
      <c r="A141" s="2" t="inlineStr">
        <is>
          <t>FM000140</t>
        </is>
      </c>
      <c r="B141" s="2" t="inlineStr">
        <is>
          <t>FM-TIETKIEM</t>
        </is>
      </c>
      <c r="C141" s="2" t="inlineStr">
        <is>
          <t>Tiết kiệm</t>
        </is>
      </c>
      <c r="D141" s="3" t="n">
        <v>7</v>
      </c>
      <c r="E141" s="4">
        <f>IFERROR(VLOOKUP(B141,GiaCuoc!$A$2:$C$6,3,FALSE),"Kiểm tra mã dịch vụ")</f>
        <v/>
      </c>
      <c r="F141" s="2">
        <f>IF(E141="Kiểm tra mã dịch vụ","Cần kiểm tra","Đã tra cước")</f>
        <v/>
      </c>
      <c r="G141" s="5" t="n">
        <v>46301</v>
      </c>
    </row>
    <row r="142">
      <c r="A142" s="2" t="inlineStr">
        <is>
          <t>FM000141</t>
        </is>
      </c>
      <c r="B142" s="2" t="inlineStr">
        <is>
          <t>FM-NOIBAI</t>
        </is>
      </c>
      <c r="C142" s="2" t="inlineStr">
        <is>
          <t>Nội thành</t>
        </is>
      </c>
      <c r="D142" s="3" t="n">
        <v>8.300000000000001</v>
      </c>
      <c r="E142" s="4">
        <f>IFERROR(VLOOKUP(B142,GiaCuoc!$A$2:$C$6,3,FALSE),"Kiểm tra mã dịch vụ")</f>
        <v/>
      </c>
      <c r="F142" s="2">
        <f>IF(E142="Kiểm tra mã dịch vụ","Cần kiểm tra","Đã tra cước")</f>
        <v/>
      </c>
      <c r="G142" s="5" t="n">
        <v>46300</v>
      </c>
    </row>
    <row r="143">
      <c r="A143" s="2" t="inlineStr">
        <is>
          <t>FM000142</t>
        </is>
      </c>
      <c r="B143" s="2" t="inlineStr">
        <is>
          <t>FM-NGOAITHANH</t>
        </is>
      </c>
      <c r="C143" s="2" t="inlineStr">
        <is>
          <t>Ngoại thành</t>
        </is>
      </c>
      <c r="D143" s="3" t="n">
        <v>9.6</v>
      </c>
      <c r="E143" s="4">
        <f>IFERROR(VLOOKUP(B143,GiaCuoc!$A$2:$C$6,3,FALSE),"Kiểm tra mã dịch vụ")</f>
        <v/>
      </c>
      <c r="F143" s="2">
        <f>IF(E143="Kiểm tra mã dịch vụ","Cần kiểm tra","Đã tra cước")</f>
        <v/>
      </c>
      <c r="G143" s="5" t="n">
        <v>46299</v>
      </c>
    </row>
    <row r="144">
      <c r="A144" s="2" t="inlineStr">
        <is>
          <t>FM000143</t>
        </is>
      </c>
      <c r="B144" s="2" t="inlineStr">
        <is>
          <t>FM-LIENMIEN</t>
        </is>
      </c>
      <c r="C144" s="2" t="inlineStr">
        <is>
          <t>Liên miền</t>
        </is>
      </c>
      <c r="D144" s="3" t="n">
        <v>10.9</v>
      </c>
      <c r="E144" s="4">
        <f>IFERROR(VLOOKUP(B144,GiaCuoc!$A$2:$C$6,3,FALSE),"Kiểm tra mã dịch vụ")</f>
        <v/>
      </c>
      <c r="F144" s="2">
        <f>IF(E144="Kiểm tra mã dịch vụ","Cần kiểm tra","Đã tra cước")</f>
        <v/>
      </c>
      <c r="G144" s="5" t="n">
        <v>46298</v>
      </c>
    </row>
    <row r="145">
      <c r="A145" s="2" t="inlineStr">
        <is>
          <t>FM000144</t>
        </is>
      </c>
      <c r="B145" s="2" t="inlineStr">
        <is>
          <t>FM-HOATOC</t>
        </is>
      </c>
      <c r="C145" s="2" t="inlineStr">
        <is>
          <t>Hỏa tốc</t>
        </is>
      </c>
      <c r="D145" s="3" t="n">
        <v>12.2</v>
      </c>
      <c r="E145" s="4">
        <f>IFERROR(VLOOKUP(B145,GiaCuoc!$A$2:$C$6,3,FALSE),"Kiểm tra mã dịch vụ")</f>
        <v/>
      </c>
      <c r="F145" s="2">
        <f>IF(E145="Kiểm tra mã dịch vụ","Cần kiểm tra","Đã tra cước")</f>
        <v/>
      </c>
      <c r="G145" s="5" t="n">
        <v>46297</v>
      </c>
    </row>
    <row r="146">
      <c r="A146" s="2" t="inlineStr">
        <is>
          <t>FM000145</t>
        </is>
      </c>
      <c r="B146" s="2" t="inlineStr">
        <is>
          <t>FM-TIETKIEM</t>
        </is>
      </c>
      <c r="C146" s="2" t="inlineStr">
        <is>
          <t>Tiết kiệm</t>
        </is>
      </c>
      <c r="D146" s="3" t="n">
        <v>13.5</v>
      </c>
      <c r="E146" s="4">
        <f>IFERROR(VLOOKUP(B146,GiaCuoc!$A$2:$C$6,3,FALSE),"Kiểm tra mã dịch vụ")</f>
        <v/>
      </c>
      <c r="F146" s="2">
        <f>IF(E146="Kiểm tra mã dịch vụ","Cần kiểm tra","Đã tra cước")</f>
        <v/>
      </c>
      <c r="G146" s="5" t="n">
        <v>46296</v>
      </c>
    </row>
    <row r="147">
      <c r="A147" s="2" t="inlineStr">
        <is>
          <t>FM000146</t>
        </is>
      </c>
      <c r="B147" s="2" t="inlineStr">
        <is>
          <t>FM-NOIBAI</t>
        </is>
      </c>
      <c r="C147" s="2" t="inlineStr">
        <is>
          <t>Nội thành</t>
        </is>
      </c>
      <c r="D147" s="3" t="n">
        <v>14.8</v>
      </c>
      <c r="E147" s="4">
        <f>IFERROR(VLOOKUP(B147,GiaCuoc!$A$2:$C$6,3,FALSE),"Kiểm tra mã dịch vụ")</f>
        <v/>
      </c>
      <c r="F147" s="2">
        <f>IF(E147="Kiểm tra mã dịch vụ","Cần kiểm tra","Đã tra cước")</f>
        <v/>
      </c>
      <c r="G147" s="5" t="n">
        <v>46295</v>
      </c>
    </row>
    <row r="148">
      <c r="A148" s="2" t="inlineStr">
        <is>
          <t>FM000147</t>
        </is>
      </c>
      <c r="B148" s="2" t="inlineStr">
        <is>
          <t>FM-NGOAITHANH</t>
        </is>
      </c>
      <c r="C148" s="2" t="inlineStr">
        <is>
          <t>Ngoại thành</t>
        </is>
      </c>
      <c r="D148" s="3" t="n">
        <v>16.1</v>
      </c>
      <c r="E148" s="4">
        <f>IFERROR(VLOOKUP(B148,GiaCuoc!$A$2:$C$6,3,FALSE),"Kiểm tra mã dịch vụ")</f>
        <v/>
      </c>
      <c r="F148" s="2">
        <f>IF(E148="Kiểm tra mã dịch vụ","Cần kiểm tra","Đã tra cước")</f>
        <v/>
      </c>
      <c r="G148" s="5" t="n">
        <v>46294</v>
      </c>
    </row>
    <row r="149">
      <c r="A149" s="2" t="inlineStr">
        <is>
          <t>FM000148</t>
        </is>
      </c>
      <c r="B149" s="2" t="inlineStr">
        <is>
          <t>FM-LIENMIEN</t>
        </is>
      </c>
      <c r="C149" s="2" t="inlineStr">
        <is>
          <t>Liên miền</t>
        </is>
      </c>
      <c r="D149" s="3" t="n">
        <v>17.4</v>
      </c>
      <c r="E149" s="4">
        <f>IFERROR(VLOOKUP(B149,GiaCuoc!$A$2:$C$6,3,FALSE),"Kiểm tra mã dịch vụ")</f>
        <v/>
      </c>
      <c r="F149" s="2">
        <f>IF(E149="Kiểm tra mã dịch vụ","Cần kiểm tra","Đã tra cước")</f>
        <v/>
      </c>
      <c r="G149" s="5" t="n">
        <v>46293</v>
      </c>
    </row>
    <row r="150">
      <c r="A150" s="2" t="inlineStr">
        <is>
          <t>FM000149</t>
        </is>
      </c>
      <c r="B150" s="2" t="inlineStr">
        <is>
          <t>FM-HOATOC</t>
        </is>
      </c>
      <c r="C150" s="2" t="inlineStr">
        <is>
          <t>Hỏa tốc</t>
        </is>
      </c>
      <c r="D150" s="3" t="n">
        <v>18.7</v>
      </c>
      <c r="E150" s="4">
        <f>IFERROR(VLOOKUP(B150,GiaCuoc!$A$2:$C$6,3,FALSE),"Kiểm tra mã dịch vụ")</f>
        <v/>
      </c>
      <c r="F150" s="2">
        <f>IF(E150="Kiểm tra mã dịch vụ","Cần kiểm tra","Đã tra cước")</f>
        <v/>
      </c>
      <c r="G150" s="5" t="n">
        <v>46292</v>
      </c>
    </row>
    <row r="151">
      <c r="A151" s="2" t="inlineStr">
        <is>
          <t>FM000150</t>
        </is>
      </c>
      <c r="B151" s="2" t="inlineStr">
        <is>
          <t>FM-TIETKIEM</t>
        </is>
      </c>
      <c r="C151" s="2" t="inlineStr">
        <is>
          <t>Tiết kiệm</t>
        </is>
      </c>
      <c r="D151" s="3" t="n">
        <v>20</v>
      </c>
      <c r="E151" s="4">
        <f>IFERROR(VLOOKUP(B151,GiaCuoc!$A$2:$C$6,3,FALSE),"Kiểm tra mã dịch vụ")</f>
        <v/>
      </c>
      <c r="F151" s="2">
        <f>IF(E151="Kiểm tra mã dịch vụ","Cần kiểm tra","Đã tra cước")</f>
        <v/>
      </c>
      <c r="G151" s="5" t="n">
        <v>46321</v>
      </c>
    </row>
    <row r="152">
      <c r="A152" s="2" t="inlineStr">
        <is>
          <t>FM000151</t>
        </is>
      </c>
      <c r="B152" s="2" t="inlineStr">
        <is>
          <t>FM-NOIBAI</t>
        </is>
      </c>
      <c r="C152" s="2" t="inlineStr">
        <is>
          <t>Nội thành</t>
        </is>
      </c>
      <c r="D152" s="3" t="n">
        <v>21.3</v>
      </c>
      <c r="E152" s="4">
        <f>IFERROR(VLOOKUP(B152,GiaCuoc!$A$2:$C$6,3,FALSE),"Kiểm tra mã dịch vụ")</f>
        <v/>
      </c>
      <c r="F152" s="2">
        <f>IF(E152="Kiểm tra mã dịch vụ","Cần kiểm tra","Đã tra cước")</f>
        <v/>
      </c>
      <c r="G152" s="5" t="n">
        <v>46320</v>
      </c>
    </row>
    <row r="153">
      <c r="A153" s="2" t="inlineStr">
        <is>
          <t>FM000152</t>
        </is>
      </c>
      <c r="B153" s="2" t="inlineStr">
        <is>
          <t>FM-NGOAITHANH</t>
        </is>
      </c>
      <c r="C153" s="2" t="inlineStr">
        <is>
          <t>Ngoại thành</t>
        </is>
      </c>
      <c r="D153" s="3" t="n">
        <v>22.6</v>
      </c>
      <c r="E153" s="4">
        <f>IFERROR(VLOOKUP(B153,GiaCuoc!$A$2:$C$6,3,FALSE),"Kiểm tra mã dịch vụ")</f>
        <v/>
      </c>
      <c r="F153" s="2">
        <f>IF(E153="Kiểm tra mã dịch vụ","Cần kiểm tra","Đã tra cước")</f>
        <v/>
      </c>
      <c r="G153" s="5" t="n">
        <v>46319</v>
      </c>
    </row>
    <row r="154">
      <c r="A154" s="2" t="inlineStr">
        <is>
          <t>FM000153</t>
        </is>
      </c>
      <c r="B154" s="2" t="inlineStr">
        <is>
          <t>FM-LIENMIEN</t>
        </is>
      </c>
      <c r="C154" s="2" t="inlineStr">
        <is>
          <t>Liên miền</t>
        </is>
      </c>
      <c r="D154" s="3" t="n">
        <v>23.9</v>
      </c>
      <c r="E154" s="4">
        <f>IFERROR(VLOOKUP(B154,GiaCuoc!$A$2:$C$6,3,FALSE),"Kiểm tra mã dịch vụ")</f>
        <v/>
      </c>
      <c r="F154" s="2">
        <f>IF(E154="Kiểm tra mã dịch vụ","Cần kiểm tra","Đã tra cước")</f>
        <v/>
      </c>
      <c r="G154" s="5" t="n">
        <v>46318</v>
      </c>
    </row>
    <row r="155">
      <c r="A155" s="2" t="inlineStr">
        <is>
          <t>FM000154</t>
        </is>
      </c>
      <c r="B155" s="2" t="inlineStr">
        <is>
          <t>FM-HOATOC</t>
        </is>
      </c>
      <c r="C155" s="2" t="inlineStr">
        <is>
          <t>Hỏa tốc</t>
        </is>
      </c>
      <c r="D155" s="3" t="n">
        <v>0.2</v>
      </c>
      <c r="E155" s="4">
        <f>IFERROR(VLOOKUP(B155,GiaCuoc!$A$2:$C$6,3,FALSE),"Kiểm tra mã dịch vụ")</f>
        <v/>
      </c>
      <c r="F155" s="2">
        <f>IF(E155="Kiểm tra mã dịch vụ","Cần kiểm tra","Đã tra cước")</f>
        <v/>
      </c>
      <c r="G155" s="5" t="n">
        <v>46317</v>
      </c>
    </row>
    <row r="156">
      <c r="A156" s="2" t="inlineStr">
        <is>
          <t>FM000155</t>
        </is>
      </c>
      <c r="B156" s="2" t="inlineStr">
        <is>
          <t>FM-TIETKIEM</t>
        </is>
      </c>
      <c r="C156" s="2" t="inlineStr">
        <is>
          <t>Tiết kiệm</t>
        </is>
      </c>
      <c r="D156" s="3" t="n">
        <v>1.5</v>
      </c>
      <c r="E156" s="4">
        <f>IFERROR(VLOOKUP(B156,GiaCuoc!$A$2:$C$6,3,FALSE),"Kiểm tra mã dịch vụ")</f>
        <v/>
      </c>
      <c r="F156" s="2">
        <f>IF(E156="Kiểm tra mã dịch vụ","Cần kiểm tra","Đã tra cước")</f>
        <v/>
      </c>
      <c r="G156" s="5" t="n">
        <v>46316</v>
      </c>
    </row>
    <row r="157">
      <c r="A157" s="2" t="inlineStr">
        <is>
          <t>FM000156</t>
        </is>
      </c>
      <c r="B157" s="2" t="inlineStr">
        <is>
          <t>FM-NOIBAI</t>
        </is>
      </c>
      <c r="C157" s="2" t="inlineStr">
        <is>
          <t>Nội thành</t>
        </is>
      </c>
      <c r="D157" s="3" t="n">
        <v>2.8</v>
      </c>
      <c r="E157" s="4">
        <f>IFERROR(VLOOKUP(B157,GiaCuoc!$A$2:$C$6,3,FALSE),"Kiểm tra mã dịch vụ")</f>
        <v/>
      </c>
      <c r="F157" s="2">
        <f>IF(E157="Kiểm tra mã dịch vụ","Cần kiểm tra","Đã tra cước")</f>
        <v/>
      </c>
      <c r="G157" s="5" t="n">
        <v>46315</v>
      </c>
    </row>
    <row r="158">
      <c r="A158" s="2" t="inlineStr">
        <is>
          <t>FM000157</t>
        </is>
      </c>
      <c r="B158" s="2" t="inlineStr">
        <is>
          <t>FM-NGOAITHANH</t>
        </is>
      </c>
      <c r="C158" s="2" t="inlineStr">
        <is>
          <t>Ngoại thành</t>
        </is>
      </c>
      <c r="D158" s="3" t="n">
        <v>4.1</v>
      </c>
      <c r="E158" s="4">
        <f>IFERROR(VLOOKUP(B158,GiaCuoc!$A$2:$C$6,3,FALSE),"Kiểm tra mã dịch vụ")</f>
        <v/>
      </c>
      <c r="F158" s="2">
        <f>IF(E158="Kiểm tra mã dịch vụ","Cần kiểm tra","Đã tra cước")</f>
        <v/>
      </c>
      <c r="G158" s="5" t="n">
        <v>46314</v>
      </c>
    </row>
    <row r="159">
      <c r="A159" s="2" t="inlineStr">
        <is>
          <t>FM000158</t>
        </is>
      </c>
      <c r="B159" s="2" t="inlineStr">
        <is>
          <t>FM-LIENMIEN</t>
        </is>
      </c>
      <c r="C159" s="2" t="inlineStr">
        <is>
          <t>Liên miền</t>
        </is>
      </c>
      <c r="D159" s="3" t="n">
        <v>5.4</v>
      </c>
      <c r="E159" s="4">
        <f>IFERROR(VLOOKUP(B159,GiaCuoc!$A$2:$C$6,3,FALSE),"Kiểm tra mã dịch vụ")</f>
        <v/>
      </c>
      <c r="F159" s="2">
        <f>IF(E159="Kiểm tra mã dịch vụ","Cần kiểm tra","Đã tra cước")</f>
        <v/>
      </c>
      <c r="G159" s="5" t="n">
        <v>46313</v>
      </c>
    </row>
    <row r="160">
      <c r="A160" s="2" t="inlineStr">
        <is>
          <t>FM000159</t>
        </is>
      </c>
      <c r="B160" s="2" t="inlineStr">
        <is>
          <t>FM-HOATOC</t>
        </is>
      </c>
      <c r="C160" s="2" t="inlineStr">
        <is>
          <t>Hỏa tốc</t>
        </is>
      </c>
      <c r="D160" s="3" t="n">
        <v>6.7</v>
      </c>
      <c r="E160" s="4">
        <f>IFERROR(VLOOKUP(B160,GiaCuoc!$A$2:$C$6,3,FALSE),"Kiểm tra mã dịch vụ")</f>
        <v/>
      </c>
      <c r="F160" s="2">
        <f>IF(E160="Kiểm tra mã dịch vụ","Cần kiểm tra","Đã tra cước")</f>
        <v/>
      </c>
      <c r="G160" s="5" t="n">
        <v>46312</v>
      </c>
    </row>
    <row r="161">
      <c r="A161" s="2" t="inlineStr">
        <is>
          <t>FM000160</t>
        </is>
      </c>
      <c r="B161" s="2" t="inlineStr">
        <is>
          <t>FM-TIETKIEM</t>
        </is>
      </c>
      <c r="C161" s="2" t="inlineStr">
        <is>
          <t>Tiết kiệm</t>
        </is>
      </c>
      <c r="D161" s="3" t="n">
        <v>8</v>
      </c>
      <c r="E161" s="4">
        <f>IFERROR(VLOOKUP(B161,GiaCuoc!$A$2:$C$6,3,FALSE),"Kiểm tra mã dịch vụ")</f>
        <v/>
      </c>
      <c r="F161" s="2">
        <f>IF(E161="Kiểm tra mã dịch vụ","Cần kiểm tra","Đã tra cước")</f>
        <v/>
      </c>
      <c r="G161" s="5" t="n">
        <v>46311</v>
      </c>
    </row>
    <row r="162">
      <c r="A162" s="2" t="inlineStr">
        <is>
          <t>FM000161</t>
        </is>
      </c>
      <c r="B162" s="2" t="inlineStr">
        <is>
          <t>FM-NOIBAI</t>
        </is>
      </c>
      <c r="C162" s="2" t="inlineStr">
        <is>
          <t>Nội thành</t>
        </is>
      </c>
      <c r="D162" s="3" t="n">
        <v>9.300000000000001</v>
      </c>
      <c r="E162" s="4">
        <f>IFERROR(VLOOKUP(B162,GiaCuoc!$A$2:$C$6,3,FALSE),"Kiểm tra mã dịch vụ")</f>
        <v/>
      </c>
      <c r="F162" s="2">
        <f>IF(E162="Kiểm tra mã dịch vụ","Cần kiểm tra","Đã tra cước")</f>
        <v/>
      </c>
      <c r="G162" s="5" t="n">
        <v>46310</v>
      </c>
    </row>
    <row r="163">
      <c r="A163" s="2" t="inlineStr">
        <is>
          <t>FM000162</t>
        </is>
      </c>
      <c r="B163" s="2" t="inlineStr">
        <is>
          <t>FM-NGOAITHANH</t>
        </is>
      </c>
      <c r="C163" s="2" t="inlineStr">
        <is>
          <t>Ngoại thành</t>
        </is>
      </c>
      <c r="D163" s="3" t="n">
        <v>10.6</v>
      </c>
      <c r="E163" s="4">
        <f>IFERROR(VLOOKUP(B163,GiaCuoc!$A$2:$C$6,3,FALSE),"Kiểm tra mã dịch vụ")</f>
        <v/>
      </c>
      <c r="F163" s="2">
        <f>IF(E163="Kiểm tra mã dịch vụ","Cần kiểm tra","Đã tra cước")</f>
        <v/>
      </c>
      <c r="G163" s="5" t="n">
        <v>46309</v>
      </c>
    </row>
    <row r="164">
      <c r="A164" s="2" t="inlineStr">
        <is>
          <t>FM000163</t>
        </is>
      </c>
      <c r="B164" s="2" t="inlineStr">
        <is>
          <t>FM-LIENMIEN</t>
        </is>
      </c>
      <c r="C164" s="2" t="inlineStr">
        <is>
          <t>Liên miền</t>
        </is>
      </c>
      <c r="D164" s="3" t="n">
        <v>11.9</v>
      </c>
      <c r="E164" s="4">
        <f>IFERROR(VLOOKUP(B164,GiaCuoc!$A$2:$C$6,3,FALSE),"Kiểm tra mã dịch vụ")</f>
        <v/>
      </c>
      <c r="F164" s="2">
        <f>IF(E164="Kiểm tra mã dịch vụ","Cần kiểm tra","Đã tra cước")</f>
        <v/>
      </c>
      <c r="G164" s="5" t="n">
        <v>46308</v>
      </c>
    </row>
    <row r="165">
      <c r="A165" s="2" t="inlineStr">
        <is>
          <t>FM000164</t>
        </is>
      </c>
      <c r="B165" s="2" t="inlineStr">
        <is>
          <t>FM-HOATOC</t>
        </is>
      </c>
      <c r="C165" s="2" t="inlineStr">
        <is>
          <t>Hỏa tốc</t>
        </is>
      </c>
      <c r="D165" s="3" t="n">
        <v>13.2</v>
      </c>
      <c r="E165" s="4">
        <f>IFERROR(VLOOKUP(B165,GiaCuoc!$A$2:$C$6,3,FALSE),"Kiểm tra mã dịch vụ")</f>
        <v/>
      </c>
      <c r="F165" s="2">
        <f>IF(E165="Kiểm tra mã dịch vụ","Cần kiểm tra","Đã tra cước")</f>
        <v/>
      </c>
      <c r="G165" s="5" t="n">
        <v>46307</v>
      </c>
    </row>
    <row r="166">
      <c r="A166" s="2" t="inlineStr">
        <is>
          <t>FM000165</t>
        </is>
      </c>
      <c r="B166" s="2" t="inlineStr">
        <is>
          <t>FM-TIETKIEM</t>
        </is>
      </c>
      <c r="C166" s="2" t="inlineStr">
        <is>
          <t>Tiết kiệm</t>
        </is>
      </c>
      <c r="D166" s="3" t="n">
        <v>14.5</v>
      </c>
      <c r="E166" s="4">
        <f>IFERROR(VLOOKUP(B166,GiaCuoc!$A$2:$C$6,3,FALSE),"Kiểm tra mã dịch vụ")</f>
        <v/>
      </c>
      <c r="F166" s="2">
        <f>IF(E166="Kiểm tra mã dịch vụ","Cần kiểm tra","Đã tra cước")</f>
        <v/>
      </c>
      <c r="G166" s="5" t="n">
        <v>46306</v>
      </c>
    </row>
    <row r="167">
      <c r="A167" s="2" t="inlineStr">
        <is>
          <t>FM000166</t>
        </is>
      </c>
      <c r="B167" s="2" t="inlineStr">
        <is>
          <t>FM-NOIBAI</t>
        </is>
      </c>
      <c r="C167" s="2" t="inlineStr">
        <is>
          <t>Nội thành</t>
        </is>
      </c>
      <c r="D167" s="3" t="n">
        <v>15.8</v>
      </c>
      <c r="E167" s="4">
        <f>IFERROR(VLOOKUP(B167,GiaCuoc!$A$2:$C$6,3,FALSE),"Kiểm tra mã dịch vụ")</f>
        <v/>
      </c>
      <c r="F167" s="2">
        <f>IF(E167="Kiểm tra mã dịch vụ","Cần kiểm tra","Đã tra cước")</f>
        <v/>
      </c>
      <c r="G167" s="5" t="n">
        <v>46305</v>
      </c>
    </row>
    <row r="168">
      <c r="A168" s="2" t="inlineStr">
        <is>
          <t>FM000167</t>
        </is>
      </c>
      <c r="B168" s="2" t="inlineStr">
        <is>
          <t>FM-NGOAITHANH</t>
        </is>
      </c>
      <c r="C168" s="2" t="inlineStr">
        <is>
          <t>Ngoại thành</t>
        </is>
      </c>
      <c r="D168" s="3" t="n">
        <v>17.1</v>
      </c>
      <c r="E168" s="4">
        <f>IFERROR(VLOOKUP(B168,GiaCuoc!$A$2:$C$6,3,FALSE),"Kiểm tra mã dịch vụ")</f>
        <v/>
      </c>
      <c r="F168" s="2">
        <f>IF(E168="Kiểm tra mã dịch vụ","Cần kiểm tra","Đã tra cước")</f>
        <v/>
      </c>
      <c r="G168" s="5" t="n">
        <v>46304</v>
      </c>
    </row>
    <row r="169">
      <c r="A169" s="2" t="inlineStr">
        <is>
          <t>FM000168</t>
        </is>
      </c>
      <c r="B169" s="2" t="inlineStr">
        <is>
          <t>FM-LIENMIEN</t>
        </is>
      </c>
      <c r="C169" s="2" t="inlineStr">
        <is>
          <t>Liên miền</t>
        </is>
      </c>
      <c r="D169" s="3" t="n">
        <v>18.4</v>
      </c>
      <c r="E169" s="4">
        <f>IFERROR(VLOOKUP(B169,GiaCuoc!$A$2:$C$6,3,FALSE),"Kiểm tra mã dịch vụ")</f>
        <v/>
      </c>
      <c r="F169" s="2">
        <f>IF(E169="Kiểm tra mã dịch vụ","Cần kiểm tra","Đã tra cước")</f>
        <v/>
      </c>
      <c r="G169" s="5" t="n">
        <v>46303</v>
      </c>
    </row>
    <row r="170">
      <c r="A170" s="2" t="inlineStr">
        <is>
          <t>FM000169</t>
        </is>
      </c>
      <c r="B170" s="2" t="inlineStr">
        <is>
          <t>FM-HOATOC</t>
        </is>
      </c>
      <c r="C170" s="2" t="inlineStr">
        <is>
          <t>Hỏa tốc</t>
        </is>
      </c>
      <c r="D170" s="3" t="n">
        <v>19.7</v>
      </c>
      <c r="E170" s="4">
        <f>IFERROR(VLOOKUP(B170,GiaCuoc!$A$2:$C$6,3,FALSE),"Kiểm tra mã dịch vụ")</f>
        <v/>
      </c>
      <c r="F170" s="2">
        <f>IF(E170="Kiểm tra mã dịch vụ","Cần kiểm tra","Đã tra cước")</f>
        <v/>
      </c>
      <c r="G170" s="5" t="n">
        <v>46302</v>
      </c>
    </row>
    <row r="171">
      <c r="A171" s="2" t="inlineStr">
        <is>
          <t>FM000170</t>
        </is>
      </c>
      <c r="B171" s="2" t="inlineStr">
        <is>
          <t>FM-TIETKIEM</t>
        </is>
      </c>
      <c r="C171" s="2" t="inlineStr">
        <is>
          <t>Tiết kiệm</t>
        </is>
      </c>
      <c r="D171" s="3" t="n">
        <v>21</v>
      </c>
      <c r="E171" s="4">
        <f>IFERROR(VLOOKUP(B171,GiaCuoc!$A$2:$C$6,3,FALSE),"Kiểm tra mã dịch vụ")</f>
        <v/>
      </c>
      <c r="F171" s="2">
        <f>IF(E171="Kiểm tra mã dịch vụ","Cần kiểm tra","Đã tra cước")</f>
        <v/>
      </c>
      <c r="G171" s="5" t="n">
        <v>46301</v>
      </c>
    </row>
    <row r="172">
      <c r="A172" s="2" t="inlineStr">
        <is>
          <t>FM000171</t>
        </is>
      </c>
      <c r="B172" s="2" t="inlineStr">
        <is>
          <t>FM-NOIBAI</t>
        </is>
      </c>
      <c r="C172" s="2" t="inlineStr">
        <is>
          <t>Nội thành</t>
        </is>
      </c>
      <c r="D172" s="3" t="n">
        <v>22.3</v>
      </c>
      <c r="E172" s="4">
        <f>IFERROR(VLOOKUP(B172,GiaCuoc!$A$2:$C$6,3,FALSE),"Kiểm tra mã dịch vụ")</f>
        <v/>
      </c>
      <c r="F172" s="2">
        <f>IF(E172="Kiểm tra mã dịch vụ","Cần kiểm tra","Đã tra cước")</f>
        <v/>
      </c>
      <c r="G172" s="5" t="n">
        <v>46300</v>
      </c>
    </row>
    <row r="173">
      <c r="A173" s="2" t="inlineStr">
        <is>
          <t>FM000172</t>
        </is>
      </c>
      <c r="B173" s="2" t="inlineStr">
        <is>
          <t>FM-NGOAITHANH</t>
        </is>
      </c>
      <c r="C173" s="2" t="inlineStr">
        <is>
          <t>Ngoại thành</t>
        </is>
      </c>
      <c r="D173" s="3" t="n">
        <v>23.6</v>
      </c>
      <c r="E173" s="4">
        <f>IFERROR(VLOOKUP(B173,GiaCuoc!$A$2:$C$6,3,FALSE),"Kiểm tra mã dịch vụ")</f>
        <v/>
      </c>
      <c r="F173" s="2">
        <f>IF(E173="Kiểm tra mã dịch vụ","Cần kiểm tra","Đã tra cước")</f>
        <v/>
      </c>
      <c r="G173" s="5" t="n">
        <v>46299</v>
      </c>
    </row>
    <row r="174">
      <c r="A174" s="2" t="inlineStr">
        <is>
          <t>FM000173</t>
        </is>
      </c>
      <c r="B174" s="2" t="inlineStr">
        <is>
          <t>FM-LIENMIEN</t>
        </is>
      </c>
      <c r="C174" s="2" t="inlineStr">
        <is>
          <t>Liên miền</t>
        </is>
      </c>
      <c r="D174" s="3" t="n">
        <v>24.9</v>
      </c>
      <c r="E174" s="4">
        <f>IFERROR(VLOOKUP(B174,GiaCuoc!$A$2:$C$6,3,FALSE),"Kiểm tra mã dịch vụ")</f>
        <v/>
      </c>
      <c r="F174" s="2">
        <f>IF(E174="Kiểm tra mã dịch vụ","Cần kiểm tra","Đã tra cước")</f>
        <v/>
      </c>
      <c r="G174" s="5" t="n">
        <v>46298</v>
      </c>
    </row>
    <row r="175">
      <c r="A175" s="2" t="inlineStr">
        <is>
          <t>FM000174</t>
        </is>
      </c>
      <c r="B175" s="2" t="inlineStr">
        <is>
          <t>FM-HOATOC</t>
        </is>
      </c>
      <c r="C175" s="2" t="inlineStr">
        <is>
          <t>Hỏa tốc</t>
        </is>
      </c>
      <c r="D175" s="3" t="n">
        <v>1.2</v>
      </c>
      <c r="E175" s="4">
        <f>IFERROR(VLOOKUP(B175,GiaCuoc!$A$2:$C$6,3,FALSE),"Kiểm tra mã dịch vụ")</f>
        <v/>
      </c>
      <c r="F175" s="2">
        <f>IF(E175="Kiểm tra mã dịch vụ","Cần kiểm tra","Đã tra cước")</f>
        <v/>
      </c>
      <c r="G175" s="5" t="n">
        <v>46297</v>
      </c>
    </row>
    <row r="176">
      <c r="A176" s="2" t="inlineStr">
        <is>
          <t>FM000175</t>
        </is>
      </c>
      <c r="B176" s="2" t="inlineStr">
        <is>
          <t>FM-TIETKIEM</t>
        </is>
      </c>
      <c r="C176" s="2" t="inlineStr">
        <is>
          <t>Tiết kiệm</t>
        </is>
      </c>
      <c r="D176" s="3" t="n">
        <v>2.5</v>
      </c>
      <c r="E176" s="4">
        <f>IFERROR(VLOOKUP(B176,GiaCuoc!$A$2:$C$6,3,FALSE),"Kiểm tra mã dịch vụ")</f>
        <v/>
      </c>
      <c r="F176" s="2">
        <f>IF(E176="Kiểm tra mã dịch vụ","Cần kiểm tra","Đã tra cước")</f>
        <v/>
      </c>
      <c r="G176" s="5" t="n">
        <v>46296</v>
      </c>
    </row>
    <row r="177">
      <c r="A177" s="2" t="inlineStr">
        <is>
          <t>FM000176</t>
        </is>
      </c>
      <c r="B177" s="2" t="inlineStr">
        <is>
          <t>FM-NOIBAI</t>
        </is>
      </c>
      <c r="C177" s="2" t="inlineStr">
        <is>
          <t>Nội thành</t>
        </is>
      </c>
      <c r="D177" s="3" t="n">
        <v>3.8</v>
      </c>
      <c r="E177" s="4">
        <f>IFERROR(VLOOKUP(B177,GiaCuoc!$A$2:$C$6,3,FALSE),"Kiểm tra mã dịch vụ")</f>
        <v/>
      </c>
      <c r="F177" s="2">
        <f>IF(E177="Kiểm tra mã dịch vụ","Cần kiểm tra","Đã tra cước")</f>
        <v/>
      </c>
      <c r="G177" s="5" t="n">
        <v>46295</v>
      </c>
    </row>
    <row r="178">
      <c r="A178" s="2" t="inlineStr">
        <is>
          <t>FM000177</t>
        </is>
      </c>
      <c r="B178" s="2" t="inlineStr">
        <is>
          <t>FM-NGOAITHANH</t>
        </is>
      </c>
      <c r="C178" s="2" t="inlineStr">
        <is>
          <t>Ngoại thành</t>
        </is>
      </c>
      <c r="D178" s="3" t="n">
        <v>5.1</v>
      </c>
      <c r="E178" s="4">
        <f>IFERROR(VLOOKUP(B178,GiaCuoc!$A$2:$C$6,3,FALSE),"Kiểm tra mã dịch vụ")</f>
        <v/>
      </c>
      <c r="F178" s="2">
        <f>IF(E178="Kiểm tra mã dịch vụ","Cần kiểm tra","Đã tra cước")</f>
        <v/>
      </c>
      <c r="G178" s="5" t="n">
        <v>46294</v>
      </c>
    </row>
    <row r="179">
      <c r="A179" s="2" t="inlineStr">
        <is>
          <t>FM000178</t>
        </is>
      </c>
      <c r="B179" s="2" t="inlineStr">
        <is>
          <t>FM-LIENMIEN</t>
        </is>
      </c>
      <c r="C179" s="2" t="inlineStr">
        <is>
          <t>Liên miền</t>
        </is>
      </c>
      <c r="D179" s="3" t="n">
        <v>6.4</v>
      </c>
      <c r="E179" s="4">
        <f>IFERROR(VLOOKUP(B179,GiaCuoc!$A$2:$C$6,3,FALSE),"Kiểm tra mã dịch vụ")</f>
        <v/>
      </c>
      <c r="F179" s="2">
        <f>IF(E179="Kiểm tra mã dịch vụ","Cần kiểm tra","Đã tra cước")</f>
        <v/>
      </c>
      <c r="G179" s="5" t="n">
        <v>46293</v>
      </c>
    </row>
    <row r="180">
      <c r="A180" s="2" t="inlineStr">
        <is>
          <t>FM000179</t>
        </is>
      </c>
      <c r="B180" s="2" t="inlineStr">
        <is>
          <t>FM-HOATOC</t>
        </is>
      </c>
      <c r="C180" s="2" t="inlineStr">
        <is>
          <t>Hỏa tốc</t>
        </is>
      </c>
      <c r="D180" s="3" t="n">
        <v>7.7</v>
      </c>
      <c r="E180" s="4">
        <f>IFERROR(VLOOKUP(B180,GiaCuoc!$A$2:$C$6,3,FALSE),"Kiểm tra mã dịch vụ")</f>
        <v/>
      </c>
      <c r="F180" s="2">
        <f>IF(E180="Kiểm tra mã dịch vụ","Cần kiểm tra","Đã tra cước")</f>
        <v/>
      </c>
      <c r="G180" s="5" t="n">
        <v>46292</v>
      </c>
    </row>
    <row r="181">
      <c r="A181" s="2" t="inlineStr">
        <is>
          <t>FM000180</t>
        </is>
      </c>
      <c r="B181" s="2" t="inlineStr">
        <is>
          <t>FM-TIETKIEM</t>
        </is>
      </c>
      <c r="C181" s="2" t="inlineStr">
        <is>
          <t>Tiết kiệm</t>
        </is>
      </c>
      <c r="D181" s="3" t="n">
        <v>9</v>
      </c>
      <c r="E181" s="4">
        <f>IFERROR(VLOOKUP(B181,GiaCuoc!$A$2:$C$6,3,FALSE),"Kiểm tra mã dịch vụ")</f>
        <v/>
      </c>
      <c r="F181" s="2">
        <f>IF(E181="Kiểm tra mã dịch vụ","Cần kiểm tra","Đã tra cước")</f>
        <v/>
      </c>
      <c r="G181" s="5" t="n">
        <v>46321</v>
      </c>
    </row>
    <row r="182">
      <c r="A182" s="2" t="inlineStr">
        <is>
          <t>FM000181</t>
        </is>
      </c>
      <c r="B182" s="2" t="inlineStr">
        <is>
          <t>FM-NOIBAI</t>
        </is>
      </c>
      <c r="C182" s="2" t="inlineStr">
        <is>
          <t>Nội thành</t>
        </is>
      </c>
      <c r="D182" s="3" t="n">
        <v>10.3</v>
      </c>
      <c r="E182" s="4">
        <f>IFERROR(VLOOKUP(B182,GiaCuoc!$A$2:$C$6,3,FALSE),"Kiểm tra mã dịch vụ")</f>
        <v/>
      </c>
      <c r="F182" s="2">
        <f>IF(E182="Kiểm tra mã dịch vụ","Cần kiểm tra","Đã tra cước")</f>
        <v/>
      </c>
      <c r="G182" s="5" t="n">
        <v>46320</v>
      </c>
    </row>
    <row r="183">
      <c r="A183" s="2" t="inlineStr">
        <is>
          <t>FM000182</t>
        </is>
      </c>
      <c r="B183" s="2" t="inlineStr">
        <is>
          <t>FM-NGOAITHANH</t>
        </is>
      </c>
      <c r="C183" s="2" t="inlineStr">
        <is>
          <t>Ngoại thành</t>
        </is>
      </c>
      <c r="D183" s="3" t="n">
        <v>11.6</v>
      </c>
      <c r="E183" s="4">
        <f>IFERROR(VLOOKUP(B183,GiaCuoc!$A$2:$C$6,3,FALSE),"Kiểm tra mã dịch vụ")</f>
        <v/>
      </c>
      <c r="F183" s="2">
        <f>IF(E183="Kiểm tra mã dịch vụ","Cần kiểm tra","Đã tra cước")</f>
        <v/>
      </c>
      <c r="G183" s="5" t="n">
        <v>46319</v>
      </c>
    </row>
    <row r="184">
      <c r="A184" s="2" t="inlineStr">
        <is>
          <t>FM000183</t>
        </is>
      </c>
      <c r="B184" s="2" t="inlineStr">
        <is>
          <t>FM-LIENMIEN</t>
        </is>
      </c>
      <c r="C184" s="2" t="inlineStr">
        <is>
          <t>Liên miền</t>
        </is>
      </c>
      <c r="D184" s="3" t="n">
        <v>12.9</v>
      </c>
      <c r="E184" s="4">
        <f>IFERROR(VLOOKUP(B184,GiaCuoc!$A$2:$C$6,3,FALSE),"Kiểm tra mã dịch vụ")</f>
        <v/>
      </c>
      <c r="F184" s="2">
        <f>IF(E184="Kiểm tra mã dịch vụ","Cần kiểm tra","Đã tra cước")</f>
        <v/>
      </c>
      <c r="G184" s="5" t="n">
        <v>46318</v>
      </c>
    </row>
    <row r="185">
      <c r="A185" s="2" t="inlineStr">
        <is>
          <t>FM000184</t>
        </is>
      </c>
      <c r="B185" s="2" t="inlineStr">
        <is>
          <t>FM-HOATOC</t>
        </is>
      </c>
      <c r="C185" s="2" t="inlineStr">
        <is>
          <t>Hỏa tốc</t>
        </is>
      </c>
      <c r="D185" s="3" t="n">
        <v>14.2</v>
      </c>
      <c r="E185" s="4">
        <f>IFERROR(VLOOKUP(B185,GiaCuoc!$A$2:$C$6,3,FALSE),"Kiểm tra mã dịch vụ")</f>
        <v/>
      </c>
      <c r="F185" s="2">
        <f>IF(E185="Kiểm tra mã dịch vụ","Cần kiểm tra","Đã tra cước")</f>
        <v/>
      </c>
      <c r="G185" s="5" t="n">
        <v>46317</v>
      </c>
    </row>
    <row r="186">
      <c r="A186" s="2" t="inlineStr">
        <is>
          <t>FM000185</t>
        </is>
      </c>
      <c r="B186" s="2" t="inlineStr">
        <is>
          <t>FM-TIETKIEM</t>
        </is>
      </c>
      <c r="C186" s="2" t="inlineStr">
        <is>
          <t>Tiết kiệm</t>
        </is>
      </c>
      <c r="D186" s="3" t="n">
        <v>15.5</v>
      </c>
      <c r="E186" s="4">
        <f>IFERROR(VLOOKUP(B186,GiaCuoc!$A$2:$C$6,3,FALSE),"Kiểm tra mã dịch vụ")</f>
        <v/>
      </c>
      <c r="F186" s="2">
        <f>IF(E186="Kiểm tra mã dịch vụ","Cần kiểm tra","Đã tra cước")</f>
        <v/>
      </c>
      <c r="G186" s="5" t="n">
        <v>46316</v>
      </c>
    </row>
    <row r="187">
      <c r="A187" s="2" t="inlineStr">
        <is>
          <t>FM000186</t>
        </is>
      </c>
      <c r="B187" s="2" t="inlineStr">
        <is>
          <t>FM-NOIBAI</t>
        </is>
      </c>
      <c r="C187" s="2" t="inlineStr">
        <is>
          <t>Nội thành</t>
        </is>
      </c>
      <c r="D187" s="3" t="n">
        <v>16.8</v>
      </c>
      <c r="E187" s="4">
        <f>IFERROR(VLOOKUP(B187,GiaCuoc!$A$2:$C$6,3,FALSE),"Kiểm tra mã dịch vụ")</f>
        <v/>
      </c>
      <c r="F187" s="2">
        <f>IF(E187="Kiểm tra mã dịch vụ","Cần kiểm tra","Đã tra cước")</f>
        <v/>
      </c>
      <c r="G187" s="5" t="n">
        <v>46315</v>
      </c>
    </row>
    <row r="188">
      <c r="A188" s="2" t="inlineStr">
        <is>
          <t>FM000187</t>
        </is>
      </c>
      <c r="B188" s="2" t="inlineStr">
        <is>
          <t>FM-NGOAITHANH</t>
        </is>
      </c>
      <c r="C188" s="2" t="inlineStr">
        <is>
          <t>Ngoại thành</t>
        </is>
      </c>
      <c r="D188" s="3" t="n">
        <v>18.1</v>
      </c>
      <c r="E188" s="4">
        <f>IFERROR(VLOOKUP(B188,GiaCuoc!$A$2:$C$6,3,FALSE),"Kiểm tra mã dịch vụ")</f>
        <v/>
      </c>
      <c r="F188" s="2">
        <f>IF(E188="Kiểm tra mã dịch vụ","Cần kiểm tra","Đã tra cước")</f>
        <v/>
      </c>
      <c r="G188" s="5" t="n">
        <v>46314</v>
      </c>
    </row>
    <row r="189">
      <c r="A189" s="2" t="inlineStr">
        <is>
          <t>FM000188</t>
        </is>
      </c>
      <c r="B189" s="2" t="inlineStr">
        <is>
          <t>FM-LIENMIEN</t>
        </is>
      </c>
      <c r="C189" s="2" t="inlineStr">
        <is>
          <t>Liên miền</t>
        </is>
      </c>
      <c r="D189" s="3" t="n">
        <v>19.4</v>
      </c>
      <c r="E189" s="4">
        <f>IFERROR(VLOOKUP(B189,GiaCuoc!$A$2:$C$6,3,FALSE),"Kiểm tra mã dịch vụ")</f>
        <v/>
      </c>
      <c r="F189" s="2">
        <f>IF(E189="Kiểm tra mã dịch vụ","Cần kiểm tra","Đã tra cước")</f>
        <v/>
      </c>
      <c r="G189" s="5" t="n">
        <v>46313</v>
      </c>
    </row>
    <row r="190">
      <c r="A190" s="2" t="inlineStr">
        <is>
          <t>FM000189</t>
        </is>
      </c>
      <c r="B190" s="2" t="inlineStr">
        <is>
          <t>FM-HOATOC</t>
        </is>
      </c>
      <c r="C190" s="2" t="inlineStr">
        <is>
          <t>Hỏa tốc</t>
        </is>
      </c>
      <c r="D190" s="3" t="n">
        <v>20.7</v>
      </c>
      <c r="E190" s="4">
        <f>IFERROR(VLOOKUP(B190,GiaCuoc!$A$2:$C$6,3,FALSE),"Kiểm tra mã dịch vụ")</f>
        <v/>
      </c>
      <c r="F190" s="2">
        <f>IF(E190="Kiểm tra mã dịch vụ","Cần kiểm tra","Đã tra cước")</f>
        <v/>
      </c>
      <c r="G190" s="5" t="n">
        <v>46312</v>
      </c>
    </row>
    <row r="191">
      <c r="A191" s="2" t="inlineStr">
        <is>
          <t>FM000190</t>
        </is>
      </c>
      <c r="B191" s="2" t="inlineStr">
        <is>
          <t>FM-TIETKIEM</t>
        </is>
      </c>
      <c r="C191" s="2" t="inlineStr">
        <is>
          <t>Tiết kiệm</t>
        </is>
      </c>
      <c r="D191" s="3" t="n">
        <v>22</v>
      </c>
      <c r="E191" s="4">
        <f>IFERROR(VLOOKUP(B191,GiaCuoc!$A$2:$C$6,3,FALSE),"Kiểm tra mã dịch vụ")</f>
        <v/>
      </c>
      <c r="F191" s="2">
        <f>IF(E191="Kiểm tra mã dịch vụ","Cần kiểm tra","Đã tra cước")</f>
        <v/>
      </c>
      <c r="G191" s="5" t="n">
        <v>46311</v>
      </c>
    </row>
    <row r="192">
      <c r="A192" s="2" t="inlineStr">
        <is>
          <t>FM000191</t>
        </is>
      </c>
      <c r="B192" s="2" t="inlineStr">
        <is>
          <t>FM-NOIBAI</t>
        </is>
      </c>
      <c r="C192" s="2" t="inlineStr">
        <is>
          <t>Nội thành</t>
        </is>
      </c>
      <c r="D192" s="3" t="n">
        <v>23.3</v>
      </c>
      <c r="E192" s="4">
        <f>IFERROR(VLOOKUP(B192,GiaCuoc!$A$2:$C$6,3,FALSE),"Kiểm tra mã dịch vụ")</f>
        <v/>
      </c>
      <c r="F192" s="2">
        <f>IF(E192="Kiểm tra mã dịch vụ","Cần kiểm tra","Đã tra cước")</f>
        <v/>
      </c>
      <c r="G192" s="5" t="n">
        <v>46310</v>
      </c>
    </row>
    <row r="193">
      <c r="A193" s="2" t="inlineStr">
        <is>
          <t>FM000192</t>
        </is>
      </c>
      <c r="B193" s="2" t="inlineStr">
        <is>
          <t>FM-NGOAITHANH</t>
        </is>
      </c>
      <c r="C193" s="2" t="inlineStr">
        <is>
          <t>Ngoại thành</t>
        </is>
      </c>
      <c r="D193" s="3" t="n">
        <v>24.6</v>
      </c>
      <c r="E193" s="4">
        <f>IFERROR(VLOOKUP(B193,GiaCuoc!$A$2:$C$6,3,FALSE),"Kiểm tra mã dịch vụ")</f>
        <v/>
      </c>
      <c r="F193" s="2">
        <f>IF(E193="Kiểm tra mã dịch vụ","Cần kiểm tra","Đã tra cước")</f>
        <v/>
      </c>
      <c r="G193" s="5" t="n">
        <v>46309</v>
      </c>
    </row>
    <row r="194">
      <c r="A194" s="2" t="inlineStr">
        <is>
          <t>FM000193</t>
        </is>
      </c>
      <c r="B194" s="2" t="inlineStr">
        <is>
          <t>FM-LIENMIEN</t>
        </is>
      </c>
      <c r="C194" s="2" t="inlineStr">
        <is>
          <t>Liên miền</t>
        </is>
      </c>
      <c r="D194" s="3" t="n">
        <v>0.9</v>
      </c>
      <c r="E194" s="4">
        <f>IFERROR(VLOOKUP(B194,GiaCuoc!$A$2:$C$6,3,FALSE),"Kiểm tra mã dịch vụ")</f>
        <v/>
      </c>
      <c r="F194" s="2">
        <f>IF(E194="Kiểm tra mã dịch vụ","Cần kiểm tra","Đã tra cước")</f>
        <v/>
      </c>
      <c r="G194" s="5" t="n">
        <v>46308</v>
      </c>
    </row>
    <row r="195">
      <c r="A195" s="2" t="inlineStr">
        <is>
          <t>FM000194</t>
        </is>
      </c>
      <c r="B195" s="2" t="inlineStr">
        <is>
          <t>FM-HOATOC</t>
        </is>
      </c>
      <c r="C195" s="2" t="inlineStr">
        <is>
          <t>Hỏa tốc</t>
        </is>
      </c>
      <c r="D195" s="3" t="n">
        <v>2.2</v>
      </c>
      <c r="E195" s="4">
        <f>IFERROR(VLOOKUP(B195,GiaCuoc!$A$2:$C$6,3,FALSE),"Kiểm tra mã dịch vụ")</f>
        <v/>
      </c>
      <c r="F195" s="2">
        <f>IF(E195="Kiểm tra mã dịch vụ","Cần kiểm tra","Đã tra cước")</f>
        <v/>
      </c>
      <c r="G195" s="5" t="n">
        <v>46307</v>
      </c>
    </row>
    <row r="196">
      <c r="A196" s="2" t="inlineStr">
        <is>
          <t>FM000195</t>
        </is>
      </c>
      <c r="B196" s="2" t="inlineStr">
        <is>
          <t>FM-TIETKIEM</t>
        </is>
      </c>
      <c r="C196" s="2" t="inlineStr">
        <is>
          <t>Tiết kiệm</t>
        </is>
      </c>
      <c r="D196" s="3" t="n">
        <v>3.5</v>
      </c>
      <c r="E196" s="4">
        <f>IFERROR(VLOOKUP(B196,GiaCuoc!$A$2:$C$6,3,FALSE),"Kiểm tra mã dịch vụ")</f>
        <v/>
      </c>
      <c r="F196" s="2">
        <f>IF(E196="Kiểm tra mã dịch vụ","Cần kiểm tra","Đã tra cước")</f>
        <v/>
      </c>
      <c r="G196" s="5" t="n">
        <v>46306</v>
      </c>
    </row>
    <row r="197">
      <c r="A197" s="2" t="inlineStr">
        <is>
          <t>FM000196</t>
        </is>
      </c>
      <c r="B197" s="2" t="inlineStr">
        <is>
          <t>FM-NOIBAI</t>
        </is>
      </c>
      <c r="C197" s="2" t="inlineStr">
        <is>
          <t>Nội thành</t>
        </is>
      </c>
      <c r="D197" s="3" t="n">
        <v>4.8</v>
      </c>
      <c r="E197" s="4">
        <f>IFERROR(VLOOKUP(B197,GiaCuoc!$A$2:$C$6,3,FALSE),"Kiểm tra mã dịch vụ")</f>
        <v/>
      </c>
      <c r="F197" s="2">
        <f>IF(E197="Kiểm tra mã dịch vụ","Cần kiểm tra","Đã tra cước")</f>
        <v/>
      </c>
      <c r="G197" s="5" t="n">
        <v>46305</v>
      </c>
    </row>
    <row r="198">
      <c r="A198" s="2" t="inlineStr">
        <is>
          <t>FM000197</t>
        </is>
      </c>
      <c r="B198" s="2" t="inlineStr">
        <is>
          <t>FM-NGOAITHANH</t>
        </is>
      </c>
      <c r="C198" s="2" t="inlineStr">
        <is>
          <t>Ngoại thành</t>
        </is>
      </c>
      <c r="D198" s="3" t="n">
        <v>6.1</v>
      </c>
      <c r="E198" s="4">
        <f>IFERROR(VLOOKUP(B198,GiaCuoc!$A$2:$C$6,3,FALSE),"Kiểm tra mã dịch vụ")</f>
        <v/>
      </c>
      <c r="F198" s="2">
        <f>IF(E198="Kiểm tra mã dịch vụ","Cần kiểm tra","Đã tra cước")</f>
        <v/>
      </c>
      <c r="G198" s="5" t="n">
        <v>46304</v>
      </c>
    </row>
    <row r="199">
      <c r="A199" s="2" t="inlineStr">
        <is>
          <t>FM000198</t>
        </is>
      </c>
      <c r="B199" s="2" t="inlineStr">
        <is>
          <t>FM-LIENMIEN</t>
        </is>
      </c>
      <c r="C199" s="2" t="inlineStr">
        <is>
          <t>Liên miền</t>
        </is>
      </c>
      <c r="D199" s="3" t="n">
        <v>7.4</v>
      </c>
      <c r="E199" s="4">
        <f>IFERROR(VLOOKUP(B199,GiaCuoc!$A$2:$C$6,3,FALSE),"Kiểm tra mã dịch vụ")</f>
        <v/>
      </c>
      <c r="F199" s="2">
        <f>IF(E199="Kiểm tra mã dịch vụ","Cần kiểm tra","Đã tra cước")</f>
        <v/>
      </c>
      <c r="G199" s="5" t="n">
        <v>46303</v>
      </c>
    </row>
    <row r="200">
      <c r="A200" s="2" t="inlineStr">
        <is>
          <t>FM000199</t>
        </is>
      </c>
      <c r="B200" s="2" t="inlineStr">
        <is>
          <t>FM-HOATOC</t>
        </is>
      </c>
      <c r="C200" s="2" t="inlineStr">
        <is>
          <t>Hỏa tốc</t>
        </is>
      </c>
      <c r="D200" s="3" t="n">
        <v>8.699999999999999</v>
      </c>
      <c r="E200" s="4">
        <f>IFERROR(VLOOKUP(B200,GiaCuoc!$A$2:$C$6,3,FALSE),"Kiểm tra mã dịch vụ")</f>
        <v/>
      </c>
      <c r="F200" s="2">
        <f>IF(E200="Kiểm tra mã dịch vụ","Cần kiểm tra","Đã tra cước")</f>
        <v/>
      </c>
      <c r="G200" s="5" t="n">
        <v>46302</v>
      </c>
    </row>
    <row r="201">
      <c r="A201" s="2" t="inlineStr">
        <is>
          <t>FM000200</t>
        </is>
      </c>
      <c r="B201" s="2" t="inlineStr">
        <is>
          <t>FM-TIETKIEM</t>
        </is>
      </c>
      <c r="C201" s="2" t="inlineStr">
        <is>
          <t>Tiết kiệm</t>
        </is>
      </c>
      <c r="D201" s="3" t="n">
        <v>10</v>
      </c>
      <c r="E201" s="4">
        <f>IFERROR(VLOOKUP(B201,GiaCuoc!$A$2:$C$6,3,FALSE),"Kiểm tra mã dịch vụ")</f>
        <v/>
      </c>
      <c r="F201" s="2">
        <f>IF(E201="Kiểm tra mã dịch vụ","Cần kiểm tra","Đã tra cước")</f>
        <v/>
      </c>
      <c r="G201" s="5" t="n">
        <v>46301</v>
      </c>
    </row>
    <row r="202">
      <c r="A202" s="2" t="inlineStr">
        <is>
          <t>FM000201</t>
        </is>
      </c>
      <c r="B202" s="2" t="inlineStr">
        <is>
          <t>FM-NOIBAI</t>
        </is>
      </c>
      <c r="C202" s="2" t="inlineStr">
        <is>
          <t>Nội thành</t>
        </is>
      </c>
      <c r="D202" s="3" t="n">
        <v>11.3</v>
      </c>
      <c r="E202" s="4">
        <f>IFERROR(VLOOKUP(B202,GiaCuoc!$A$2:$C$6,3,FALSE),"Kiểm tra mã dịch vụ")</f>
        <v/>
      </c>
      <c r="F202" s="2">
        <f>IF(E202="Kiểm tra mã dịch vụ","Cần kiểm tra","Đã tra cước")</f>
        <v/>
      </c>
      <c r="G202" s="5" t="n">
        <v>46300</v>
      </c>
    </row>
    <row r="203">
      <c r="A203" s="2" t="inlineStr">
        <is>
          <t>FM000202</t>
        </is>
      </c>
      <c r="B203" s="2" t="inlineStr">
        <is>
          <t>FM-NGOAITHANH</t>
        </is>
      </c>
      <c r="C203" s="2" t="inlineStr">
        <is>
          <t>Ngoại thành</t>
        </is>
      </c>
      <c r="D203" s="3" t="n">
        <v>12.6</v>
      </c>
      <c r="E203" s="4">
        <f>IFERROR(VLOOKUP(B203,GiaCuoc!$A$2:$C$6,3,FALSE),"Kiểm tra mã dịch vụ")</f>
        <v/>
      </c>
      <c r="F203" s="2">
        <f>IF(E203="Kiểm tra mã dịch vụ","Cần kiểm tra","Đã tra cước")</f>
        <v/>
      </c>
      <c r="G203" s="5" t="n">
        <v>46299</v>
      </c>
    </row>
    <row r="204">
      <c r="A204" s="2" t="inlineStr">
        <is>
          <t>FM000203</t>
        </is>
      </c>
      <c r="B204" s="2" t="inlineStr">
        <is>
          <t>FM-LIENMIEN</t>
        </is>
      </c>
      <c r="C204" s="2" t="inlineStr">
        <is>
          <t>Liên miền</t>
        </is>
      </c>
      <c r="D204" s="3" t="n">
        <v>13.9</v>
      </c>
      <c r="E204" s="4">
        <f>IFERROR(VLOOKUP(B204,GiaCuoc!$A$2:$C$6,3,FALSE),"Kiểm tra mã dịch vụ")</f>
        <v/>
      </c>
      <c r="F204" s="2">
        <f>IF(E204="Kiểm tra mã dịch vụ","Cần kiểm tra","Đã tra cước")</f>
        <v/>
      </c>
      <c r="G204" s="5" t="n">
        <v>46298</v>
      </c>
    </row>
    <row r="205">
      <c r="A205" s="2" t="inlineStr">
        <is>
          <t>FM000204</t>
        </is>
      </c>
      <c r="B205" s="2" t="inlineStr">
        <is>
          <t>FM-HOATOC</t>
        </is>
      </c>
      <c r="C205" s="2" t="inlineStr">
        <is>
          <t>Hỏa tốc</t>
        </is>
      </c>
      <c r="D205" s="3" t="n">
        <v>15.2</v>
      </c>
      <c r="E205" s="4">
        <f>IFERROR(VLOOKUP(B205,GiaCuoc!$A$2:$C$6,3,FALSE),"Kiểm tra mã dịch vụ")</f>
        <v/>
      </c>
      <c r="F205" s="2">
        <f>IF(E205="Kiểm tra mã dịch vụ","Cần kiểm tra","Đã tra cước")</f>
        <v/>
      </c>
      <c r="G205" s="5" t="n">
        <v>46297</v>
      </c>
    </row>
    <row r="206">
      <c r="A206" s="2" t="inlineStr">
        <is>
          <t>FM000205</t>
        </is>
      </c>
      <c r="B206" s="2" t="inlineStr">
        <is>
          <t>FM-TIETKIEM</t>
        </is>
      </c>
      <c r="C206" s="2" t="inlineStr">
        <is>
          <t>Tiết kiệm</t>
        </is>
      </c>
      <c r="D206" s="3" t="n">
        <v>16.5</v>
      </c>
      <c r="E206" s="4">
        <f>IFERROR(VLOOKUP(B206,GiaCuoc!$A$2:$C$6,3,FALSE),"Kiểm tra mã dịch vụ")</f>
        <v/>
      </c>
      <c r="F206" s="2">
        <f>IF(E206="Kiểm tra mã dịch vụ","Cần kiểm tra","Đã tra cước")</f>
        <v/>
      </c>
      <c r="G206" s="5" t="n">
        <v>46296</v>
      </c>
    </row>
    <row r="207">
      <c r="A207" s="2" t="inlineStr">
        <is>
          <t>FM000206</t>
        </is>
      </c>
      <c r="B207" s="2" t="inlineStr">
        <is>
          <t>FM-NOIBAI</t>
        </is>
      </c>
      <c r="C207" s="2" t="inlineStr">
        <is>
          <t>Nội thành</t>
        </is>
      </c>
      <c r="D207" s="3" t="n">
        <v>17.8</v>
      </c>
      <c r="E207" s="4">
        <f>IFERROR(VLOOKUP(B207,GiaCuoc!$A$2:$C$6,3,FALSE),"Kiểm tra mã dịch vụ")</f>
        <v/>
      </c>
      <c r="F207" s="2">
        <f>IF(E207="Kiểm tra mã dịch vụ","Cần kiểm tra","Đã tra cước")</f>
        <v/>
      </c>
      <c r="G207" s="5" t="n">
        <v>46295</v>
      </c>
    </row>
    <row r="208">
      <c r="A208" s="2" t="inlineStr">
        <is>
          <t>FM000207</t>
        </is>
      </c>
      <c r="B208" s="2" t="inlineStr">
        <is>
          <t>FM-NGOAITHANH</t>
        </is>
      </c>
      <c r="C208" s="2" t="inlineStr">
        <is>
          <t>Ngoại thành</t>
        </is>
      </c>
      <c r="D208" s="3" t="n">
        <v>19.1</v>
      </c>
      <c r="E208" s="4">
        <f>IFERROR(VLOOKUP(B208,GiaCuoc!$A$2:$C$6,3,FALSE),"Kiểm tra mã dịch vụ")</f>
        <v/>
      </c>
      <c r="F208" s="2">
        <f>IF(E208="Kiểm tra mã dịch vụ","Cần kiểm tra","Đã tra cước")</f>
        <v/>
      </c>
      <c r="G208" s="5" t="n">
        <v>46294</v>
      </c>
    </row>
    <row r="209">
      <c r="A209" s="2" t="inlineStr">
        <is>
          <t>FM000208</t>
        </is>
      </c>
      <c r="B209" s="2" t="inlineStr">
        <is>
          <t>FM-LIENMIEN</t>
        </is>
      </c>
      <c r="C209" s="2" t="inlineStr">
        <is>
          <t>Liên miền</t>
        </is>
      </c>
      <c r="D209" s="3" t="n">
        <v>20.4</v>
      </c>
      <c r="E209" s="4">
        <f>IFERROR(VLOOKUP(B209,GiaCuoc!$A$2:$C$6,3,FALSE),"Kiểm tra mã dịch vụ")</f>
        <v/>
      </c>
      <c r="F209" s="2">
        <f>IF(E209="Kiểm tra mã dịch vụ","Cần kiểm tra","Đã tra cước")</f>
        <v/>
      </c>
      <c r="G209" s="5" t="n">
        <v>46293</v>
      </c>
    </row>
    <row r="210">
      <c r="A210" s="2" t="inlineStr">
        <is>
          <t>FM000209</t>
        </is>
      </c>
      <c r="B210" s="2" t="inlineStr">
        <is>
          <t>FM-HOATOC</t>
        </is>
      </c>
      <c r="C210" s="2" t="inlineStr">
        <is>
          <t>Hỏa tốc</t>
        </is>
      </c>
      <c r="D210" s="3" t="n">
        <v>21.7</v>
      </c>
      <c r="E210" s="4">
        <f>IFERROR(VLOOKUP(B210,GiaCuoc!$A$2:$C$6,3,FALSE),"Kiểm tra mã dịch vụ")</f>
        <v/>
      </c>
      <c r="F210" s="2">
        <f>IF(E210="Kiểm tra mã dịch vụ","Cần kiểm tra","Đã tra cước")</f>
        <v/>
      </c>
      <c r="G210" s="5" t="n">
        <v>46292</v>
      </c>
    </row>
    <row r="211">
      <c r="A211" s="2" t="inlineStr">
        <is>
          <t>FM000210</t>
        </is>
      </c>
      <c r="B211" s="2" t="inlineStr">
        <is>
          <t>FM-TIETKIEM</t>
        </is>
      </c>
      <c r="C211" s="2" t="inlineStr">
        <is>
          <t>Tiết kiệm</t>
        </is>
      </c>
      <c r="D211" s="3" t="n">
        <v>23</v>
      </c>
      <c r="E211" s="4">
        <f>IFERROR(VLOOKUP(B211,GiaCuoc!$A$2:$C$6,3,FALSE),"Kiểm tra mã dịch vụ")</f>
        <v/>
      </c>
      <c r="F211" s="2">
        <f>IF(E211="Kiểm tra mã dịch vụ","Cần kiểm tra","Đã tra cước")</f>
        <v/>
      </c>
      <c r="G211" s="5" t="n">
        <v>46321</v>
      </c>
    </row>
    <row r="212">
      <c r="A212" s="2" t="inlineStr">
        <is>
          <t>FM000211</t>
        </is>
      </c>
      <c r="B212" s="2" t="inlineStr">
        <is>
          <t>FM-NOIBAI</t>
        </is>
      </c>
      <c r="C212" s="2" t="inlineStr">
        <is>
          <t>Nội thành</t>
        </is>
      </c>
      <c r="D212" s="3" t="n">
        <v>24.3</v>
      </c>
      <c r="E212" s="4">
        <f>IFERROR(VLOOKUP(B212,GiaCuoc!$A$2:$C$6,3,FALSE),"Kiểm tra mã dịch vụ")</f>
        <v/>
      </c>
      <c r="F212" s="2">
        <f>IF(E212="Kiểm tra mã dịch vụ","Cần kiểm tra","Đã tra cước")</f>
        <v/>
      </c>
      <c r="G212" s="5" t="n">
        <v>46320</v>
      </c>
    </row>
    <row r="213">
      <c r="A213" s="2" t="inlineStr">
        <is>
          <t>FM000212</t>
        </is>
      </c>
      <c r="B213" s="2" t="inlineStr">
        <is>
          <t>FM-NGOAITHANH</t>
        </is>
      </c>
      <c r="C213" s="2" t="inlineStr">
        <is>
          <t>Ngoại thành</t>
        </is>
      </c>
      <c r="D213" s="3" t="n">
        <v>0.6</v>
      </c>
      <c r="E213" s="4">
        <f>IFERROR(VLOOKUP(B213,GiaCuoc!$A$2:$C$6,3,FALSE),"Kiểm tra mã dịch vụ")</f>
        <v/>
      </c>
      <c r="F213" s="2">
        <f>IF(E213="Kiểm tra mã dịch vụ","Cần kiểm tra","Đã tra cước")</f>
        <v/>
      </c>
      <c r="G213" s="5" t="n">
        <v>46319</v>
      </c>
    </row>
    <row r="214">
      <c r="A214" s="2" t="inlineStr">
        <is>
          <t>FM000213</t>
        </is>
      </c>
      <c r="B214" s="2" t="inlineStr">
        <is>
          <t>FM-LIENMIEN</t>
        </is>
      </c>
      <c r="C214" s="2" t="inlineStr">
        <is>
          <t>Liên miền</t>
        </is>
      </c>
      <c r="D214" s="3" t="n">
        <v>1.9</v>
      </c>
      <c r="E214" s="4">
        <f>IFERROR(VLOOKUP(B214,GiaCuoc!$A$2:$C$6,3,FALSE),"Kiểm tra mã dịch vụ")</f>
        <v/>
      </c>
      <c r="F214" s="2">
        <f>IF(E214="Kiểm tra mã dịch vụ","Cần kiểm tra","Đã tra cước")</f>
        <v/>
      </c>
      <c r="G214" s="5" t="n">
        <v>46318</v>
      </c>
    </row>
    <row r="215">
      <c r="A215" s="2" t="inlineStr">
        <is>
          <t>FM000214</t>
        </is>
      </c>
      <c r="B215" s="2" t="inlineStr">
        <is>
          <t>FM-HOATOC</t>
        </is>
      </c>
      <c r="C215" s="2" t="inlineStr">
        <is>
          <t>Hỏa tốc</t>
        </is>
      </c>
      <c r="D215" s="3" t="n">
        <v>3.2</v>
      </c>
      <c r="E215" s="4">
        <f>IFERROR(VLOOKUP(B215,GiaCuoc!$A$2:$C$6,3,FALSE),"Kiểm tra mã dịch vụ")</f>
        <v/>
      </c>
      <c r="F215" s="2">
        <f>IF(E215="Kiểm tra mã dịch vụ","Cần kiểm tra","Đã tra cước")</f>
        <v/>
      </c>
      <c r="G215" s="5" t="n">
        <v>46317</v>
      </c>
    </row>
    <row r="216">
      <c r="A216" s="2" t="inlineStr">
        <is>
          <t>FM000215</t>
        </is>
      </c>
      <c r="B216" s="2" t="inlineStr">
        <is>
          <t>FM-TIETKIEM</t>
        </is>
      </c>
      <c r="C216" s="2" t="inlineStr">
        <is>
          <t>Tiết kiệm</t>
        </is>
      </c>
      <c r="D216" s="3" t="n">
        <v>4.5</v>
      </c>
      <c r="E216" s="4">
        <f>IFERROR(VLOOKUP(B216,GiaCuoc!$A$2:$C$6,3,FALSE),"Kiểm tra mã dịch vụ")</f>
        <v/>
      </c>
      <c r="F216" s="2">
        <f>IF(E216="Kiểm tra mã dịch vụ","Cần kiểm tra","Đã tra cước")</f>
        <v/>
      </c>
      <c r="G216" s="5" t="n">
        <v>46316</v>
      </c>
    </row>
    <row r="217">
      <c r="A217" s="2" t="inlineStr">
        <is>
          <t>FM000216</t>
        </is>
      </c>
      <c r="B217" s="2" t="inlineStr">
        <is>
          <t>FM-NOIBAI</t>
        </is>
      </c>
      <c r="C217" s="2" t="inlineStr">
        <is>
          <t>Nội thành</t>
        </is>
      </c>
      <c r="D217" s="3" t="n">
        <v>5.8</v>
      </c>
      <c r="E217" s="4">
        <f>IFERROR(VLOOKUP(B217,GiaCuoc!$A$2:$C$6,3,FALSE),"Kiểm tra mã dịch vụ")</f>
        <v/>
      </c>
      <c r="F217" s="2">
        <f>IF(E217="Kiểm tra mã dịch vụ","Cần kiểm tra","Đã tra cước")</f>
        <v/>
      </c>
      <c r="G217" s="5" t="n">
        <v>46315</v>
      </c>
    </row>
    <row r="218">
      <c r="A218" s="2" t="inlineStr">
        <is>
          <t>FM000217</t>
        </is>
      </c>
      <c r="B218" s="2" t="inlineStr">
        <is>
          <t>FM-NGOAITHANH</t>
        </is>
      </c>
      <c r="C218" s="2" t="inlineStr">
        <is>
          <t>Ngoại thành</t>
        </is>
      </c>
      <c r="D218" s="3" t="n">
        <v>7.1</v>
      </c>
      <c r="E218" s="4">
        <f>IFERROR(VLOOKUP(B218,GiaCuoc!$A$2:$C$6,3,FALSE),"Kiểm tra mã dịch vụ")</f>
        <v/>
      </c>
      <c r="F218" s="2">
        <f>IF(E218="Kiểm tra mã dịch vụ","Cần kiểm tra","Đã tra cước")</f>
        <v/>
      </c>
      <c r="G218" s="5" t="n">
        <v>46314</v>
      </c>
    </row>
    <row r="219">
      <c r="A219" s="2" t="inlineStr">
        <is>
          <t>FM000218</t>
        </is>
      </c>
      <c r="B219" s="2" t="inlineStr">
        <is>
          <t>FM-LIENMIEN</t>
        </is>
      </c>
      <c r="C219" s="2" t="inlineStr">
        <is>
          <t>Liên miền</t>
        </is>
      </c>
      <c r="D219" s="3" t="n">
        <v>8.4</v>
      </c>
      <c r="E219" s="4">
        <f>IFERROR(VLOOKUP(B219,GiaCuoc!$A$2:$C$6,3,FALSE),"Kiểm tra mã dịch vụ")</f>
        <v/>
      </c>
      <c r="F219" s="2">
        <f>IF(E219="Kiểm tra mã dịch vụ","Cần kiểm tra","Đã tra cước")</f>
        <v/>
      </c>
      <c r="G219" s="5" t="n">
        <v>46313</v>
      </c>
    </row>
    <row r="220">
      <c r="A220" s="2" t="inlineStr">
        <is>
          <t>FM000219</t>
        </is>
      </c>
      <c r="B220" s="2" t="inlineStr">
        <is>
          <t>FM-HOATOC</t>
        </is>
      </c>
      <c r="C220" s="2" t="inlineStr">
        <is>
          <t>Hỏa tốc</t>
        </is>
      </c>
      <c r="D220" s="3" t="n">
        <v>9.699999999999999</v>
      </c>
      <c r="E220" s="4">
        <f>IFERROR(VLOOKUP(B220,GiaCuoc!$A$2:$C$6,3,FALSE),"Kiểm tra mã dịch vụ")</f>
        <v/>
      </c>
      <c r="F220" s="2">
        <f>IF(E220="Kiểm tra mã dịch vụ","Cần kiểm tra","Đã tra cước")</f>
        <v/>
      </c>
      <c r="G220" s="5" t="n">
        <v>46312</v>
      </c>
    </row>
    <row r="221">
      <c r="A221" s="2" t="inlineStr">
        <is>
          <t>FM000220</t>
        </is>
      </c>
      <c r="B221" s="2" t="inlineStr">
        <is>
          <t>FM-TIETKIEM</t>
        </is>
      </c>
      <c r="C221" s="2" t="inlineStr">
        <is>
          <t>Tiết kiệm</t>
        </is>
      </c>
      <c r="D221" s="3" t="n">
        <v>11</v>
      </c>
      <c r="E221" s="4">
        <f>IFERROR(VLOOKUP(B221,GiaCuoc!$A$2:$C$6,3,FALSE),"Kiểm tra mã dịch vụ")</f>
        <v/>
      </c>
      <c r="F221" s="2">
        <f>IF(E221="Kiểm tra mã dịch vụ","Cần kiểm tra","Đã tra cước")</f>
        <v/>
      </c>
      <c r="G221" s="5" t="n">
        <v>46311</v>
      </c>
    </row>
    <row r="222">
      <c r="A222" s="2" t="inlineStr">
        <is>
          <t>FM000221</t>
        </is>
      </c>
      <c r="B222" s="2" t="inlineStr">
        <is>
          <t>FM-NOIBAI</t>
        </is>
      </c>
      <c r="C222" s="2" t="inlineStr">
        <is>
          <t>Nội thành</t>
        </is>
      </c>
      <c r="D222" s="3" t="n">
        <v>12.3</v>
      </c>
      <c r="E222" s="4">
        <f>IFERROR(VLOOKUP(B222,GiaCuoc!$A$2:$C$6,3,FALSE),"Kiểm tra mã dịch vụ")</f>
        <v/>
      </c>
      <c r="F222" s="2">
        <f>IF(E222="Kiểm tra mã dịch vụ","Cần kiểm tra","Đã tra cước")</f>
        <v/>
      </c>
      <c r="G222" s="5" t="n">
        <v>46310</v>
      </c>
    </row>
    <row r="223">
      <c r="A223" s="2" t="inlineStr">
        <is>
          <t>FM000222</t>
        </is>
      </c>
      <c r="B223" s="2" t="inlineStr">
        <is>
          <t>FM-NGOAITHANH</t>
        </is>
      </c>
      <c r="C223" s="2" t="inlineStr">
        <is>
          <t>Ngoại thành</t>
        </is>
      </c>
      <c r="D223" s="3" t="n">
        <v>13.6</v>
      </c>
      <c r="E223" s="4">
        <f>IFERROR(VLOOKUP(B223,GiaCuoc!$A$2:$C$6,3,FALSE),"Kiểm tra mã dịch vụ")</f>
        <v/>
      </c>
      <c r="F223" s="2">
        <f>IF(E223="Kiểm tra mã dịch vụ","Cần kiểm tra","Đã tra cước")</f>
        <v/>
      </c>
      <c r="G223" s="5" t="n">
        <v>46309</v>
      </c>
    </row>
    <row r="224">
      <c r="A224" s="2" t="inlineStr">
        <is>
          <t>FM000223</t>
        </is>
      </c>
      <c r="B224" s="2" t="inlineStr">
        <is>
          <t>FM-LIENMIEN</t>
        </is>
      </c>
      <c r="C224" s="2" t="inlineStr">
        <is>
          <t>Liên miền</t>
        </is>
      </c>
      <c r="D224" s="3" t="n">
        <v>14.9</v>
      </c>
      <c r="E224" s="4">
        <f>IFERROR(VLOOKUP(B224,GiaCuoc!$A$2:$C$6,3,FALSE),"Kiểm tra mã dịch vụ")</f>
        <v/>
      </c>
      <c r="F224" s="2">
        <f>IF(E224="Kiểm tra mã dịch vụ","Cần kiểm tra","Đã tra cước")</f>
        <v/>
      </c>
      <c r="G224" s="5" t="n">
        <v>46308</v>
      </c>
    </row>
    <row r="225">
      <c r="A225" s="2" t="inlineStr">
        <is>
          <t>FM000224</t>
        </is>
      </c>
      <c r="B225" s="2" t="inlineStr">
        <is>
          <t>FM-HOATOC</t>
        </is>
      </c>
      <c r="C225" s="2" t="inlineStr">
        <is>
          <t>Hỏa tốc</t>
        </is>
      </c>
      <c r="D225" s="3" t="n">
        <v>16.2</v>
      </c>
      <c r="E225" s="4">
        <f>IFERROR(VLOOKUP(B225,GiaCuoc!$A$2:$C$6,3,FALSE),"Kiểm tra mã dịch vụ")</f>
        <v/>
      </c>
      <c r="F225" s="2">
        <f>IF(E225="Kiểm tra mã dịch vụ","Cần kiểm tra","Đã tra cước")</f>
        <v/>
      </c>
      <c r="G225" s="5" t="n">
        <v>46307</v>
      </c>
    </row>
    <row r="226">
      <c r="A226" s="2" t="inlineStr">
        <is>
          <t>FM000225</t>
        </is>
      </c>
      <c r="B226" s="2" t="inlineStr">
        <is>
          <t>FM-TIETKIEM</t>
        </is>
      </c>
      <c r="C226" s="2" t="inlineStr">
        <is>
          <t>Tiết kiệm</t>
        </is>
      </c>
      <c r="D226" s="3" t="n">
        <v>17.5</v>
      </c>
      <c r="E226" s="4">
        <f>IFERROR(VLOOKUP(B226,GiaCuoc!$A$2:$C$6,3,FALSE),"Kiểm tra mã dịch vụ")</f>
        <v/>
      </c>
      <c r="F226" s="2">
        <f>IF(E226="Kiểm tra mã dịch vụ","Cần kiểm tra","Đã tra cước")</f>
        <v/>
      </c>
      <c r="G226" s="5" t="n">
        <v>46306</v>
      </c>
    </row>
    <row r="227">
      <c r="A227" s="2" t="inlineStr">
        <is>
          <t>FM000226</t>
        </is>
      </c>
      <c r="B227" s="2" t="inlineStr">
        <is>
          <t>FM-NOIBAI</t>
        </is>
      </c>
      <c r="C227" s="2" t="inlineStr">
        <is>
          <t>Nội thành</t>
        </is>
      </c>
      <c r="D227" s="3" t="n">
        <v>18.8</v>
      </c>
      <c r="E227" s="4">
        <f>IFERROR(VLOOKUP(B227,GiaCuoc!$A$2:$C$6,3,FALSE),"Kiểm tra mã dịch vụ")</f>
        <v/>
      </c>
      <c r="F227" s="2">
        <f>IF(E227="Kiểm tra mã dịch vụ","Cần kiểm tra","Đã tra cước")</f>
        <v/>
      </c>
      <c r="G227" s="5" t="n">
        <v>46305</v>
      </c>
    </row>
    <row r="228">
      <c r="A228" s="2" t="inlineStr">
        <is>
          <t>FM000227</t>
        </is>
      </c>
      <c r="B228" s="2" t="inlineStr">
        <is>
          <t>FM-NGOAITHANH</t>
        </is>
      </c>
      <c r="C228" s="2" t="inlineStr">
        <is>
          <t>Ngoại thành</t>
        </is>
      </c>
      <c r="D228" s="3" t="n">
        <v>20.1</v>
      </c>
      <c r="E228" s="4">
        <f>IFERROR(VLOOKUP(B228,GiaCuoc!$A$2:$C$6,3,FALSE),"Kiểm tra mã dịch vụ")</f>
        <v/>
      </c>
      <c r="F228" s="2">
        <f>IF(E228="Kiểm tra mã dịch vụ","Cần kiểm tra","Đã tra cước")</f>
        <v/>
      </c>
      <c r="G228" s="5" t="n">
        <v>46304</v>
      </c>
    </row>
    <row r="229">
      <c r="A229" s="2" t="inlineStr">
        <is>
          <t>FM000228</t>
        </is>
      </c>
      <c r="B229" s="2" t="inlineStr">
        <is>
          <t>FM-LIENMIEN</t>
        </is>
      </c>
      <c r="C229" s="2" t="inlineStr">
        <is>
          <t>Liên miền</t>
        </is>
      </c>
      <c r="D229" s="3" t="n">
        <v>21.4</v>
      </c>
      <c r="E229" s="4">
        <f>IFERROR(VLOOKUP(B229,GiaCuoc!$A$2:$C$6,3,FALSE),"Kiểm tra mã dịch vụ")</f>
        <v/>
      </c>
      <c r="F229" s="2">
        <f>IF(E229="Kiểm tra mã dịch vụ","Cần kiểm tra","Đã tra cước")</f>
        <v/>
      </c>
      <c r="G229" s="5" t="n">
        <v>46303</v>
      </c>
    </row>
    <row r="230">
      <c r="A230" s="2" t="inlineStr">
        <is>
          <t>FM000229</t>
        </is>
      </c>
      <c r="B230" s="2" t="inlineStr">
        <is>
          <t>FM-HOATOC</t>
        </is>
      </c>
      <c r="C230" s="2" t="inlineStr">
        <is>
          <t>Hỏa tốc</t>
        </is>
      </c>
      <c r="D230" s="3" t="n">
        <v>22.7</v>
      </c>
      <c r="E230" s="4">
        <f>IFERROR(VLOOKUP(B230,GiaCuoc!$A$2:$C$6,3,FALSE),"Kiểm tra mã dịch vụ")</f>
        <v/>
      </c>
      <c r="F230" s="2">
        <f>IF(E230="Kiểm tra mã dịch vụ","Cần kiểm tra","Đã tra cước")</f>
        <v/>
      </c>
      <c r="G230" s="5" t="n">
        <v>46302</v>
      </c>
    </row>
    <row r="231">
      <c r="A231" s="2" t="inlineStr">
        <is>
          <t>FM000230</t>
        </is>
      </c>
      <c r="B231" s="2" t="inlineStr">
        <is>
          <t>FM-TIETKIEM</t>
        </is>
      </c>
      <c r="C231" s="2" t="inlineStr">
        <is>
          <t>Tiết kiệm</t>
        </is>
      </c>
      <c r="D231" s="3" t="n">
        <v>24</v>
      </c>
      <c r="E231" s="4">
        <f>IFERROR(VLOOKUP(B231,GiaCuoc!$A$2:$C$6,3,FALSE),"Kiểm tra mã dịch vụ")</f>
        <v/>
      </c>
      <c r="F231" s="2">
        <f>IF(E231="Kiểm tra mã dịch vụ","Cần kiểm tra","Đã tra cước")</f>
        <v/>
      </c>
      <c r="G231" s="5" t="n">
        <v>46301</v>
      </c>
    </row>
    <row r="232">
      <c r="A232" s="2" t="inlineStr">
        <is>
          <t>FM000231</t>
        </is>
      </c>
      <c r="B232" s="2" t="inlineStr">
        <is>
          <t>FM-NOIBAI</t>
        </is>
      </c>
      <c r="C232" s="2" t="inlineStr">
        <is>
          <t>Nội thành</t>
        </is>
      </c>
      <c r="D232" s="3" t="n">
        <v>0.3</v>
      </c>
      <c r="E232" s="4">
        <f>IFERROR(VLOOKUP(B232,GiaCuoc!$A$2:$C$6,3,FALSE),"Kiểm tra mã dịch vụ")</f>
        <v/>
      </c>
      <c r="F232" s="2">
        <f>IF(E232="Kiểm tra mã dịch vụ","Cần kiểm tra","Đã tra cước")</f>
        <v/>
      </c>
      <c r="G232" s="5" t="n">
        <v>46300</v>
      </c>
    </row>
    <row r="233">
      <c r="A233" s="2" t="inlineStr">
        <is>
          <t>FM000232</t>
        </is>
      </c>
      <c r="B233" s="2" t="inlineStr">
        <is>
          <t>FM-NGOAITHANH</t>
        </is>
      </c>
      <c r="C233" s="2" t="inlineStr">
        <is>
          <t>Ngoại thành</t>
        </is>
      </c>
      <c r="D233" s="3" t="n">
        <v>1.6</v>
      </c>
      <c r="E233" s="4">
        <f>IFERROR(VLOOKUP(B233,GiaCuoc!$A$2:$C$6,3,FALSE),"Kiểm tra mã dịch vụ")</f>
        <v/>
      </c>
      <c r="F233" s="2">
        <f>IF(E233="Kiểm tra mã dịch vụ","Cần kiểm tra","Đã tra cước")</f>
        <v/>
      </c>
      <c r="G233" s="5" t="n">
        <v>46299</v>
      </c>
    </row>
    <row r="234">
      <c r="A234" s="2" t="inlineStr">
        <is>
          <t>FM000233</t>
        </is>
      </c>
      <c r="B234" s="2" t="inlineStr">
        <is>
          <t>FM-LIENMIEN</t>
        </is>
      </c>
      <c r="C234" s="2" t="inlineStr">
        <is>
          <t>Liên miền</t>
        </is>
      </c>
      <c r="D234" s="3" t="n">
        <v>2.9</v>
      </c>
      <c r="E234" s="4">
        <f>IFERROR(VLOOKUP(B234,GiaCuoc!$A$2:$C$6,3,FALSE),"Kiểm tra mã dịch vụ")</f>
        <v/>
      </c>
      <c r="F234" s="2">
        <f>IF(E234="Kiểm tra mã dịch vụ","Cần kiểm tra","Đã tra cước")</f>
        <v/>
      </c>
      <c r="G234" s="5" t="n">
        <v>46298</v>
      </c>
    </row>
    <row r="235">
      <c r="A235" s="2" t="inlineStr">
        <is>
          <t>FM000234</t>
        </is>
      </c>
      <c r="B235" s="2" t="inlineStr">
        <is>
          <t>FM-HOATOC</t>
        </is>
      </c>
      <c r="C235" s="2" t="inlineStr">
        <is>
          <t>Hỏa tốc</t>
        </is>
      </c>
      <c r="D235" s="3" t="n">
        <v>4.2</v>
      </c>
      <c r="E235" s="4">
        <f>IFERROR(VLOOKUP(B235,GiaCuoc!$A$2:$C$6,3,FALSE),"Kiểm tra mã dịch vụ")</f>
        <v/>
      </c>
      <c r="F235" s="2">
        <f>IF(E235="Kiểm tra mã dịch vụ","Cần kiểm tra","Đã tra cước")</f>
        <v/>
      </c>
      <c r="G235" s="5" t="n">
        <v>46297</v>
      </c>
    </row>
    <row r="236">
      <c r="A236" s="2" t="inlineStr">
        <is>
          <t>FM000235</t>
        </is>
      </c>
      <c r="B236" s="2" t="inlineStr">
        <is>
          <t>FM-TIETKIEM</t>
        </is>
      </c>
      <c r="C236" s="2" t="inlineStr">
        <is>
          <t>Tiết kiệm</t>
        </is>
      </c>
      <c r="D236" s="3" t="n">
        <v>5.5</v>
      </c>
      <c r="E236" s="4">
        <f>IFERROR(VLOOKUP(B236,GiaCuoc!$A$2:$C$6,3,FALSE),"Kiểm tra mã dịch vụ")</f>
        <v/>
      </c>
      <c r="F236" s="2">
        <f>IF(E236="Kiểm tra mã dịch vụ","Cần kiểm tra","Đã tra cước")</f>
        <v/>
      </c>
      <c r="G236" s="5" t="n">
        <v>46296</v>
      </c>
    </row>
    <row r="237">
      <c r="A237" s="2" t="inlineStr">
        <is>
          <t>FM000236</t>
        </is>
      </c>
      <c r="B237" s="2" t="inlineStr">
        <is>
          <t>FM-NOIBAI</t>
        </is>
      </c>
      <c r="C237" s="2" t="inlineStr">
        <is>
          <t>Nội thành</t>
        </is>
      </c>
      <c r="D237" s="3" t="n">
        <v>6.8</v>
      </c>
      <c r="E237" s="4">
        <f>IFERROR(VLOOKUP(B237,GiaCuoc!$A$2:$C$6,3,FALSE),"Kiểm tra mã dịch vụ")</f>
        <v/>
      </c>
      <c r="F237" s="2">
        <f>IF(E237="Kiểm tra mã dịch vụ","Cần kiểm tra","Đã tra cước")</f>
        <v/>
      </c>
      <c r="G237" s="5" t="n">
        <v>46295</v>
      </c>
    </row>
    <row r="238">
      <c r="A238" s="2" t="inlineStr">
        <is>
          <t>FM000237</t>
        </is>
      </c>
      <c r="B238" s="2" t="inlineStr">
        <is>
          <t>FM-NGOAITHANH</t>
        </is>
      </c>
      <c r="C238" s="2" t="inlineStr">
        <is>
          <t>Ngoại thành</t>
        </is>
      </c>
      <c r="D238" s="3" t="n">
        <v>8.1</v>
      </c>
      <c r="E238" s="4">
        <f>IFERROR(VLOOKUP(B238,GiaCuoc!$A$2:$C$6,3,FALSE),"Kiểm tra mã dịch vụ")</f>
        <v/>
      </c>
      <c r="F238" s="2">
        <f>IF(E238="Kiểm tra mã dịch vụ","Cần kiểm tra","Đã tra cước")</f>
        <v/>
      </c>
      <c r="G238" s="5" t="n">
        <v>46294</v>
      </c>
    </row>
    <row r="239">
      <c r="A239" s="2" t="inlineStr">
        <is>
          <t>FM000238</t>
        </is>
      </c>
      <c r="B239" s="2" t="inlineStr">
        <is>
          <t>FM-LIENMIEN</t>
        </is>
      </c>
      <c r="C239" s="2" t="inlineStr">
        <is>
          <t>Liên miền</t>
        </is>
      </c>
      <c r="D239" s="3" t="n">
        <v>9.4</v>
      </c>
      <c r="E239" s="4">
        <f>IFERROR(VLOOKUP(B239,GiaCuoc!$A$2:$C$6,3,FALSE),"Kiểm tra mã dịch vụ")</f>
        <v/>
      </c>
      <c r="F239" s="2">
        <f>IF(E239="Kiểm tra mã dịch vụ","Cần kiểm tra","Đã tra cước")</f>
        <v/>
      </c>
      <c r="G239" s="5" t="n">
        <v>46293</v>
      </c>
    </row>
    <row r="240">
      <c r="A240" s="2" t="inlineStr">
        <is>
          <t>FM000239</t>
        </is>
      </c>
      <c r="B240" s="2" t="inlineStr">
        <is>
          <t>FM-HOATOC</t>
        </is>
      </c>
      <c r="C240" s="2" t="inlineStr">
        <is>
          <t>Hỏa tốc</t>
        </is>
      </c>
      <c r="D240" s="3" t="n">
        <v>10.7</v>
      </c>
      <c r="E240" s="4">
        <f>IFERROR(VLOOKUP(B240,GiaCuoc!$A$2:$C$6,3,FALSE),"Kiểm tra mã dịch vụ")</f>
        <v/>
      </c>
      <c r="F240" s="2">
        <f>IF(E240="Kiểm tra mã dịch vụ","Cần kiểm tra","Đã tra cước")</f>
        <v/>
      </c>
      <c r="G240" s="5" t="n">
        <v>46292</v>
      </c>
    </row>
    <row r="241">
      <c r="A241" s="2" t="inlineStr">
        <is>
          <t>FM000240</t>
        </is>
      </c>
      <c r="B241" s="2" t="inlineStr">
        <is>
          <t>FM-TIETKIEM</t>
        </is>
      </c>
      <c r="C241" s="2" t="inlineStr">
        <is>
          <t>Tiết kiệm</t>
        </is>
      </c>
      <c r="D241" s="3" t="n">
        <v>12</v>
      </c>
      <c r="E241" s="4">
        <f>IFERROR(VLOOKUP(B241,GiaCuoc!$A$2:$C$6,3,FALSE),"Kiểm tra mã dịch vụ")</f>
        <v/>
      </c>
      <c r="F241" s="2">
        <f>IF(E241="Kiểm tra mã dịch vụ","Cần kiểm tra","Đã tra cước")</f>
        <v/>
      </c>
      <c r="G241" s="5" t="n">
        <v>46321</v>
      </c>
    </row>
    <row r="242">
      <c r="A242" s="2" t="inlineStr">
        <is>
          <t>FM000241</t>
        </is>
      </c>
      <c r="B242" s="2" t="inlineStr">
        <is>
          <t>FM-NOIBAI</t>
        </is>
      </c>
      <c r="C242" s="2" t="inlineStr">
        <is>
          <t>Nội thành</t>
        </is>
      </c>
      <c r="D242" s="3" t="n">
        <v>13.3</v>
      </c>
      <c r="E242" s="4">
        <f>IFERROR(VLOOKUP(B242,GiaCuoc!$A$2:$C$6,3,FALSE),"Kiểm tra mã dịch vụ")</f>
        <v/>
      </c>
      <c r="F242" s="2">
        <f>IF(E242="Kiểm tra mã dịch vụ","Cần kiểm tra","Đã tra cước")</f>
        <v/>
      </c>
      <c r="G242" s="5" t="n">
        <v>46320</v>
      </c>
    </row>
    <row r="243">
      <c r="A243" s="2" t="inlineStr">
        <is>
          <t>FM000242</t>
        </is>
      </c>
      <c r="B243" s="2" t="inlineStr">
        <is>
          <t>FM-NGOAITHANH</t>
        </is>
      </c>
      <c r="C243" s="2" t="inlineStr">
        <is>
          <t>Ngoại thành</t>
        </is>
      </c>
      <c r="D243" s="3" t="n">
        <v>14.6</v>
      </c>
      <c r="E243" s="4">
        <f>IFERROR(VLOOKUP(B243,GiaCuoc!$A$2:$C$6,3,FALSE),"Kiểm tra mã dịch vụ")</f>
        <v/>
      </c>
      <c r="F243" s="2">
        <f>IF(E243="Kiểm tra mã dịch vụ","Cần kiểm tra","Đã tra cước")</f>
        <v/>
      </c>
      <c r="G243" s="5" t="n">
        <v>46319</v>
      </c>
    </row>
    <row r="244">
      <c r="A244" s="2" t="inlineStr">
        <is>
          <t>FM000243</t>
        </is>
      </c>
      <c r="B244" s="2" t="inlineStr">
        <is>
          <t>FM-LIENMIEN</t>
        </is>
      </c>
      <c r="C244" s="2" t="inlineStr">
        <is>
          <t>Liên miền</t>
        </is>
      </c>
      <c r="D244" s="3" t="n">
        <v>15.9</v>
      </c>
      <c r="E244" s="4">
        <f>IFERROR(VLOOKUP(B244,GiaCuoc!$A$2:$C$6,3,FALSE),"Kiểm tra mã dịch vụ")</f>
        <v/>
      </c>
      <c r="F244" s="2">
        <f>IF(E244="Kiểm tra mã dịch vụ","Cần kiểm tra","Đã tra cước")</f>
        <v/>
      </c>
      <c r="G244" s="5" t="n">
        <v>46318</v>
      </c>
    </row>
    <row r="245">
      <c r="A245" s="2" t="inlineStr">
        <is>
          <t>FM000244</t>
        </is>
      </c>
      <c r="B245" s="2" t="inlineStr">
        <is>
          <t>FM-HOATOC</t>
        </is>
      </c>
      <c r="C245" s="2" t="inlineStr">
        <is>
          <t>Hỏa tốc</t>
        </is>
      </c>
      <c r="D245" s="3" t="n">
        <v>17.2</v>
      </c>
      <c r="E245" s="4">
        <f>IFERROR(VLOOKUP(B245,GiaCuoc!$A$2:$C$6,3,FALSE),"Kiểm tra mã dịch vụ")</f>
        <v/>
      </c>
      <c r="F245" s="2">
        <f>IF(E245="Kiểm tra mã dịch vụ","Cần kiểm tra","Đã tra cước")</f>
        <v/>
      </c>
      <c r="G245" s="5" t="n">
        <v>46317</v>
      </c>
    </row>
    <row r="246">
      <c r="A246" s="2" t="inlineStr">
        <is>
          <t>FM000245</t>
        </is>
      </c>
      <c r="B246" s="2" t="inlineStr">
        <is>
          <t>FM-TIETKIEM</t>
        </is>
      </c>
      <c r="C246" s="2" t="inlineStr">
        <is>
          <t>Tiết kiệm</t>
        </is>
      </c>
      <c r="D246" s="3" t="n">
        <v>18.5</v>
      </c>
      <c r="E246" s="4">
        <f>IFERROR(VLOOKUP(B246,GiaCuoc!$A$2:$C$6,3,FALSE),"Kiểm tra mã dịch vụ")</f>
        <v/>
      </c>
      <c r="F246" s="2">
        <f>IF(E246="Kiểm tra mã dịch vụ","Cần kiểm tra","Đã tra cước")</f>
        <v/>
      </c>
      <c r="G246" s="5" t="n">
        <v>46316</v>
      </c>
    </row>
    <row r="247">
      <c r="A247" s="2" t="inlineStr">
        <is>
          <t>FM000246</t>
        </is>
      </c>
      <c r="B247" s="2" t="inlineStr">
        <is>
          <t>FM-NOIBAI</t>
        </is>
      </c>
      <c r="C247" s="2" t="inlineStr">
        <is>
          <t>Nội thành</t>
        </is>
      </c>
      <c r="D247" s="3" t="n">
        <v>19.8</v>
      </c>
      <c r="E247" s="4">
        <f>IFERROR(VLOOKUP(B247,GiaCuoc!$A$2:$C$6,3,FALSE),"Kiểm tra mã dịch vụ")</f>
        <v/>
      </c>
      <c r="F247" s="2">
        <f>IF(E247="Kiểm tra mã dịch vụ","Cần kiểm tra","Đã tra cước")</f>
        <v/>
      </c>
      <c r="G247" s="5" t="n">
        <v>46315</v>
      </c>
    </row>
    <row r="248">
      <c r="A248" s="2" t="inlineStr">
        <is>
          <t>FM000247</t>
        </is>
      </c>
      <c r="B248" s="2" t="inlineStr">
        <is>
          <t>FM-NGOAITHANH</t>
        </is>
      </c>
      <c r="C248" s="2" t="inlineStr">
        <is>
          <t>Ngoại thành</t>
        </is>
      </c>
      <c r="D248" s="3" t="n">
        <v>21.1</v>
      </c>
      <c r="E248" s="4">
        <f>IFERROR(VLOOKUP(B248,GiaCuoc!$A$2:$C$6,3,FALSE),"Kiểm tra mã dịch vụ")</f>
        <v/>
      </c>
      <c r="F248" s="2">
        <f>IF(E248="Kiểm tra mã dịch vụ","Cần kiểm tra","Đã tra cước")</f>
        <v/>
      </c>
      <c r="G248" s="5" t="n">
        <v>46314</v>
      </c>
    </row>
    <row r="249">
      <c r="A249" s="2" t="inlineStr">
        <is>
          <t>FM000248</t>
        </is>
      </c>
      <c r="B249" s="2" t="inlineStr">
        <is>
          <t>FM-LIENMIEN</t>
        </is>
      </c>
      <c r="C249" s="2" t="inlineStr">
        <is>
          <t>Liên miền</t>
        </is>
      </c>
      <c r="D249" s="3" t="n">
        <v>22.4</v>
      </c>
      <c r="E249" s="4">
        <f>IFERROR(VLOOKUP(B249,GiaCuoc!$A$2:$C$6,3,FALSE),"Kiểm tra mã dịch vụ")</f>
        <v/>
      </c>
      <c r="F249" s="2">
        <f>IF(E249="Kiểm tra mã dịch vụ","Cần kiểm tra","Đã tra cước")</f>
        <v/>
      </c>
      <c r="G249" s="5" t="n">
        <v>46313</v>
      </c>
    </row>
    <row r="250">
      <c r="A250" s="2" t="inlineStr">
        <is>
          <t>FM000249</t>
        </is>
      </c>
      <c r="B250" s="2" t="inlineStr">
        <is>
          <t>FM-HOATOC</t>
        </is>
      </c>
      <c r="C250" s="2" t="inlineStr">
        <is>
          <t>Hỏa tốc</t>
        </is>
      </c>
      <c r="D250" s="3" t="n">
        <v>23.7</v>
      </c>
      <c r="E250" s="4">
        <f>IFERROR(VLOOKUP(B250,GiaCuoc!$A$2:$C$6,3,FALSE),"Kiểm tra mã dịch vụ")</f>
        <v/>
      </c>
      <c r="F250" s="2">
        <f>IF(E250="Kiểm tra mã dịch vụ","Cần kiểm tra","Đã tra cước")</f>
        <v/>
      </c>
      <c r="G250" s="5" t="n">
        <v>46312</v>
      </c>
    </row>
    <row r="251">
      <c r="A251" s="2" t="inlineStr">
        <is>
          <t>FM000250</t>
        </is>
      </c>
      <c r="B251" s="2" t="inlineStr">
        <is>
          <t>FM-TIETKIEM</t>
        </is>
      </c>
      <c r="C251" s="2" t="inlineStr">
        <is>
          <t>Tiết kiệm</t>
        </is>
      </c>
      <c r="D251" s="3" t="n">
        <v>0</v>
      </c>
      <c r="E251" s="4">
        <f>IFERROR(VLOOKUP(B251,GiaCuoc!$A$2:$C$6,3,FALSE),"Kiểm tra mã dịch vụ")</f>
        <v/>
      </c>
      <c r="F251" s="2">
        <f>IF(E251="Kiểm tra mã dịch vụ","Cần kiểm tra","Đã tra cước")</f>
        <v/>
      </c>
      <c r="G251" s="5" t="n">
        <v>46311</v>
      </c>
    </row>
    <row r="252">
      <c r="A252" s="2" t="inlineStr">
        <is>
          <t>FM000251</t>
        </is>
      </c>
      <c r="B252" s="2" t="inlineStr">
        <is>
          <t>FM-NOIBAI</t>
        </is>
      </c>
      <c r="C252" s="2" t="inlineStr">
        <is>
          <t>Nội thành</t>
        </is>
      </c>
      <c r="D252" s="3" t="n">
        <v>1.3</v>
      </c>
      <c r="E252" s="4">
        <f>IFERROR(VLOOKUP(B252,GiaCuoc!$A$2:$C$6,3,FALSE),"Kiểm tra mã dịch vụ")</f>
        <v/>
      </c>
      <c r="F252" s="2">
        <f>IF(E252="Kiểm tra mã dịch vụ","Cần kiểm tra","Đã tra cước")</f>
        <v/>
      </c>
      <c r="G252" s="5" t="n">
        <v>46310</v>
      </c>
    </row>
    <row r="253">
      <c r="A253" s="2" t="inlineStr">
        <is>
          <t>FM000252</t>
        </is>
      </c>
      <c r="B253" s="2" t="inlineStr">
        <is>
          <t>FM-NGOAITHANH</t>
        </is>
      </c>
      <c r="C253" s="2" t="inlineStr">
        <is>
          <t>Ngoại thành</t>
        </is>
      </c>
      <c r="D253" s="3" t="n">
        <v>2.6</v>
      </c>
      <c r="E253" s="4">
        <f>IFERROR(VLOOKUP(B253,GiaCuoc!$A$2:$C$6,3,FALSE),"Kiểm tra mã dịch vụ")</f>
        <v/>
      </c>
      <c r="F253" s="2">
        <f>IF(E253="Kiểm tra mã dịch vụ","Cần kiểm tra","Đã tra cước")</f>
        <v/>
      </c>
      <c r="G253" s="5" t="n">
        <v>46309</v>
      </c>
    </row>
    <row r="254">
      <c r="A254" s="2" t="inlineStr">
        <is>
          <t>FM000253</t>
        </is>
      </c>
      <c r="B254" s="2" t="inlineStr">
        <is>
          <t>FM-LIENMIEN</t>
        </is>
      </c>
      <c r="C254" s="2" t="inlineStr">
        <is>
          <t>Liên miền</t>
        </is>
      </c>
      <c r="D254" s="3" t="n">
        <v>3.9</v>
      </c>
      <c r="E254" s="4">
        <f>IFERROR(VLOOKUP(B254,GiaCuoc!$A$2:$C$6,3,FALSE),"Kiểm tra mã dịch vụ")</f>
        <v/>
      </c>
      <c r="F254" s="2">
        <f>IF(E254="Kiểm tra mã dịch vụ","Cần kiểm tra","Đã tra cước")</f>
        <v/>
      </c>
      <c r="G254" s="5" t="n">
        <v>46308</v>
      </c>
    </row>
    <row r="255">
      <c r="A255" s="2" t="inlineStr">
        <is>
          <t>FM000254</t>
        </is>
      </c>
      <c r="B255" s="2" t="inlineStr">
        <is>
          <t>FM-HOATOC</t>
        </is>
      </c>
      <c r="C255" s="2" t="inlineStr">
        <is>
          <t>Hỏa tốc</t>
        </is>
      </c>
      <c r="D255" s="3" t="n">
        <v>5.2</v>
      </c>
      <c r="E255" s="4">
        <f>IFERROR(VLOOKUP(B255,GiaCuoc!$A$2:$C$6,3,FALSE),"Kiểm tra mã dịch vụ")</f>
        <v/>
      </c>
      <c r="F255" s="2">
        <f>IF(E255="Kiểm tra mã dịch vụ","Cần kiểm tra","Đã tra cước")</f>
        <v/>
      </c>
      <c r="G255" s="5" t="n">
        <v>46307</v>
      </c>
    </row>
    <row r="256">
      <c r="A256" s="2" t="inlineStr">
        <is>
          <t>FM000255</t>
        </is>
      </c>
      <c r="B256" s="2" t="inlineStr">
        <is>
          <t>FM-TIETKIEM</t>
        </is>
      </c>
      <c r="C256" s="2" t="inlineStr">
        <is>
          <t>Tiết kiệm</t>
        </is>
      </c>
      <c r="D256" s="3" t="n">
        <v>6.5</v>
      </c>
      <c r="E256" s="4">
        <f>IFERROR(VLOOKUP(B256,GiaCuoc!$A$2:$C$6,3,FALSE),"Kiểm tra mã dịch vụ")</f>
        <v/>
      </c>
      <c r="F256" s="2">
        <f>IF(E256="Kiểm tra mã dịch vụ","Cần kiểm tra","Đã tra cước")</f>
        <v/>
      </c>
      <c r="G256" s="5" t="n">
        <v>46306</v>
      </c>
    </row>
    <row r="257">
      <c r="A257" s="2" t="inlineStr">
        <is>
          <t>FM000256</t>
        </is>
      </c>
      <c r="B257" s="2" t="inlineStr">
        <is>
          <t>FM-NOIBAI</t>
        </is>
      </c>
      <c r="C257" s="2" t="inlineStr">
        <is>
          <t>Nội thành</t>
        </is>
      </c>
      <c r="D257" s="3" t="n">
        <v>7.8</v>
      </c>
      <c r="E257" s="4">
        <f>IFERROR(VLOOKUP(B257,GiaCuoc!$A$2:$C$6,3,FALSE),"Kiểm tra mã dịch vụ")</f>
        <v/>
      </c>
      <c r="F257" s="2">
        <f>IF(E257="Kiểm tra mã dịch vụ","Cần kiểm tra","Đã tra cước")</f>
        <v/>
      </c>
      <c r="G257" s="5" t="n">
        <v>46305</v>
      </c>
    </row>
    <row r="258">
      <c r="A258" s="2" t="inlineStr">
        <is>
          <t>FM000257</t>
        </is>
      </c>
      <c r="B258" s="2" t="inlineStr">
        <is>
          <t>FM-NGOAITHANH</t>
        </is>
      </c>
      <c r="C258" s="2" t="inlineStr">
        <is>
          <t>Ngoại thành</t>
        </is>
      </c>
      <c r="D258" s="3" t="n">
        <v>9.1</v>
      </c>
      <c r="E258" s="4">
        <f>IFERROR(VLOOKUP(B258,GiaCuoc!$A$2:$C$6,3,FALSE),"Kiểm tra mã dịch vụ")</f>
        <v/>
      </c>
      <c r="F258" s="2">
        <f>IF(E258="Kiểm tra mã dịch vụ","Cần kiểm tra","Đã tra cước")</f>
        <v/>
      </c>
      <c r="G258" s="5" t="n">
        <v>46304</v>
      </c>
    </row>
    <row r="259">
      <c r="A259" s="2" t="inlineStr">
        <is>
          <t>FM000258</t>
        </is>
      </c>
      <c r="B259" s="2" t="inlineStr">
        <is>
          <t>FM-LIENMIEN</t>
        </is>
      </c>
      <c r="C259" s="2" t="inlineStr">
        <is>
          <t>Liên miền</t>
        </is>
      </c>
      <c r="D259" s="3" t="n">
        <v>10.4</v>
      </c>
      <c r="E259" s="4">
        <f>IFERROR(VLOOKUP(B259,GiaCuoc!$A$2:$C$6,3,FALSE),"Kiểm tra mã dịch vụ")</f>
        <v/>
      </c>
      <c r="F259" s="2">
        <f>IF(E259="Kiểm tra mã dịch vụ","Cần kiểm tra","Đã tra cước")</f>
        <v/>
      </c>
      <c r="G259" s="5" t="n">
        <v>46303</v>
      </c>
    </row>
    <row r="260">
      <c r="A260" s="2" t="inlineStr">
        <is>
          <t>FM000259</t>
        </is>
      </c>
      <c r="B260" s="2" t="inlineStr">
        <is>
          <t>FM-HOATOC</t>
        </is>
      </c>
      <c r="C260" s="2" t="inlineStr">
        <is>
          <t>Hỏa tốc</t>
        </is>
      </c>
      <c r="D260" s="3" t="n">
        <v>11.7</v>
      </c>
      <c r="E260" s="4">
        <f>IFERROR(VLOOKUP(B260,GiaCuoc!$A$2:$C$6,3,FALSE),"Kiểm tra mã dịch vụ")</f>
        <v/>
      </c>
      <c r="F260" s="2">
        <f>IF(E260="Kiểm tra mã dịch vụ","Cần kiểm tra","Đã tra cước")</f>
        <v/>
      </c>
      <c r="G260" s="5" t="n">
        <v>46302</v>
      </c>
    </row>
    <row r="261">
      <c r="A261" s="2" t="inlineStr">
        <is>
          <t>FM000260</t>
        </is>
      </c>
      <c r="B261" s="2" t="inlineStr">
        <is>
          <t>FM-TIETKIEM</t>
        </is>
      </c>
      <c r="C261" s="2" t="inlineStr">
        <is>
          <t>Tiết kiệm</t>
        </is>
      </c>
      <c r="D261" s="3" t="n">
        <v>13</v>
      </c>
      <c r="E261" s="4">
        <f>IFERROR(VLOOKUP(B261,GiaCuoc!$A$2:$C$6,3,FALSE),"Kiểm tra mã dịch vụ")</f>
        <v/>
      </c>
      <c r="F261" s="2">
        <f>IF(E261="Kiểm tra mã dịch vụ","Cần kiểm tra","Đã tra cước")</f>
        <v/>
      </c>
      <c r="G261" s="5" t="n">
        <v>46301</v>
      </c>
    </row>
    <row r="262">
      <c r="A262" s="2" t="inlineStr">
        <is>
          <t>FM000261</t>
        </is>
      </c>
      <c r="B262" s="2" t="inlineStr">
        <is>
          <t>FM-NOIBAI</t>
        </is>
      </c>
      <c r="C262" s="2" t="inlineStr">
        <is>
          <t>Nội thành</t>
        </is>
      </c>
      <c r="D262" s="3" t="n">
        <v>14.3</v>
      </c>
      <c r="E262" s="4">
        <f>IFERROR(VLOOKUP(B262,GiaCuoc!$A$2:$C$6,3,FALSE),"Kiểm tra mã dịch vụ")</f>
        <v/>
      </c>
      <c r="F262" s="2">
        <f>IF(E262="Kiểm tra mã dịch vụ","Cần kiểm tra","Đã tra cước")</f>
        <v/>
      </c>
      <c r="G262" s="5" t="n">
        <v>46300</v>
      </c>
    </row>
    <row r="263">
      <c r="A263" s="2" t="inlineStr">
        <is>
          <t>FM000262</t>
        </is>
      </c>
      <c r="B263" s="2" t="inlineStr">
        <is>
          <t>FM-NGOAITHANH</t>
        </is>
      </c>
      <c r="C263" s="2" t="inlineStr">
        <is>
          <t>Ngoại thành</t>
        </is>
      </c>
      <c r="D263" s="3" t="n">
        <v>15.6</v>
      </c>
      <c r="E263" s="4">
        <f>IFERROR(VLOOKUP(B263,GiaCuoc!$A$2:$C$6,3,FALSE),"Kiểm tra mã dịch vụ")</f>
        <v/>
      </c>
      <c r="F263" s="2">
        <f>IF(E263="Kiểm tra mã dịch vụ","Cần kiểm tra","Đã tra cước")</f>
        <v/>
      </c>
      <c r="G263" s="5" t="n">
        <v>46299</v>
      </c>
    </row>
    <row r="264">
      <c r="A264" s="2" t="inlineStr">
        <is>
          <t>FM000263</t>
        </is>
      </c>
      <c r="B264" s="2" t="inlineStr">
        <is>
          <t>FM-LIENMIEN</t>
        </is>
      </c>
      <c r="C264" s="2" t="inlineStr">
        <is>
          <t>Liên miền</t>
        </is>
      </c>
      <c r="D264" s="3" t="n">
        <v>16.9</v>
      </c>
      <c r="E264" s="4">
        <f>IFERROR(VLOOKUP(B264,GiaCuoc!$A$2:$C$6,3,FALSE),"Kiểm tra mã dịch vụ")</f>
        <v/>
      </c>
      <c r="F264" s="2">
        <f>IF(E264="Kiểm tra mã dịch vụ","Cần kiểm tra","Đã tra cước")</f>
        <v/>
      </c>
      <c r="G264" s="5" t="n">
        <v>46298</v>
      </c>
    </row>
    <row r="265">
      <c r="A265" s="2" t="inlineStr">
        <is>
          <t>FM000264</t>
        </is>
      </c>
      <c r="B265" s="2" t="inlineStr">
        <is>
          <t>FM-HOATOC</t>
        </is>
      </c>
      <c r="C265" s="2" t="inlineStr">
        <is>
          <t>Hỏa tốc</t>
        </is>
      </c>
      <c r="D265" s="3" t="n">
        <v>18.2</v>
      </c>
      <c r="E265" s="4">
        <f>IFERROR(VLOOKUP(B265,GiaCuoc!$A$2:$C$6,3,FALSE),"Kiểm tra mã dịch vụ")</f>
        <v/>
      </c>
      <c r="F265" s="2">
        <f>IF(E265="Kiểm tra mã dịch vụ","Cần kiểm tra","Đã tra cước")</f>
        <v/>
      </c>
      <c r="G265" s="5" t="n">
        <v>46297</v>
      </c>
    </row>
    <row r="266">
      <c r="A266" s="2" t="inlineStr">
        <is>
          <t>FM000265</t>
        </is>
      </c>
      <c r="B266" s="2" t="inlineStr">
        <is>
          <t>FM-TIETKIEM</t>
        </is>
      </c>
      <c r="C266" s="2" t="inlineStr">
        <is>
          <t>Tiết kiệm</t>
        </is>
      </c>
      <c r="D266" s="3" t="n">
        <v>19.5</v>
      </c>
      <c r="E266" s="4">
        <f>IFERROR(VLOOKUP(B266,GiaCuoc!$A$2:$C$6,3,FALSE),"Kiểm tra mã dịch vụ")</f>
        <v/>
      </c>
      <c r="F266" s="2">
        <f>IF(E266="Kiểm tra mã dịch vụ","Cần kiểm tra","Đã tra cước")</f>
        <v/>
      </c>
      <c r="G266" s="5" t="n">
        <v>46296</v>
      </c>
    </row>
    <row r="267">
      <c r="A267" s="2" t="inlineStr">
        <is>
          <t>FM000266</t>
        </is>
      </c>
      <c r="B267" s="2" t="inlineStr">
        <is>
          <t>FM-NOIBAI</t>
        </is>
      </c>
      <c r="C267" s="2" t="inlineStr">
        <is>
          <t>Nội thành</t>
        </is>
      </c>
      <c r="D267" s="3" t="n">
        <v>20.8</v>
      </c>
      <c r="E267" s="4">
        <f>IFERROR(VLOOKUP(B267,GiaCuoc!$A$2:$C$6,3,FALSE),"Kiểm tra mã dịch vụ")</f>
        <v/>
      </c>
      <c r="F267" s="2">
        <f>IF(E267="Kiểm tra mã dịch vụ","Cần kiểm tra","Đã tra cước")</f>
        <v/>
      </c>
      <c r="G267" s="5" t="n">
        <v>46295</v>
      </c>
    </row>
    <row r="268">
      <c r="A268" s="2" t="inlineStr">
        <is>
          <t>FM000267</t>
        </is>
      </c>
      <c r="B268" s="2" t="inlineStr">
        <is>
          <t>FM-NGOAITHANH</t>
        </is>
      </c>
      <c r="C268" s="2" t="inlineStr">
        <is>
          <t>Ngoại thành</t>
        </is>
      </c>
      <c r="D268" s="3" t="n">
        <v>22.1</v>
      </c>
      <c r="E268" s="4">
        <f>IFERROR(VLOOKUP(B268,GiaCuoc!$A$2:$C$6,3,FALSE),"Kiểm tra mã dịch vụ")</f>
        <v/>
      </c>
      <c r="F268" s="2">
        <f>IF(E268="Kiểm tra mã dịch vụ","Cần kiểm tra","Đã tra cước")</f>
        <v/>
      </c>
      <c r="G268" s="5" t="n">
        <v>46294</v>
      </c>
    </row>
    <row r="269">
      <c r="A269" s="2" t="inlineStr">
        <is>
          <t>FM000268</t>
        </is>
      </c>
      <c r="B269" s="2" t="inlineStr">
        <is>
          <t>FM-LIENMIEN</t>
        </is>
      </c>
      <c r="C269" s="2" t="inlineStr">
        <is>
          <t>Liên miền</t>
        </is>
      </c>
      <c r="D269" s="3" t="n">
        <v>23.4</v>
      </c>
      <c r="E269" s="4">
        <f>IFERROR(VLOOKUP(B269,GiaCuoc!$A$2:$C$6,3,FALSE),"Kiểm tra mã dịch vụ")</f>
        <v/>
      </c>
      <c r="F269" s="2">
        <f>IF(E269="Kiểm tra mã dịch vụ","Cần kiểm tra","Đã tra cước")</f>
        <v/>
      </c>
      <c r="G269" s="5" t="n">
        <v>46293</v>
      </c>
    </row>
    <row r="270">
      <c r="A270" s="2" t="inlineStr">
        <is>
          <t>FM000269</t>
        </is>
      </c>
      <c r="B270" s="2" t="inlineStr">
        <is>
          <t>FM-HOATOC</t>
        </is>
      </c>
      <c r="C270" s="2" t="inlineStr">
        <is>
          <t>Hỏa tốc</t>
        </is>
      </c>
      <c r="D270" s="3" t="n">
        <v>24.7</v>
      </c>
      <c r="E270" s="4">
        <f>IFERROR(VLOOKUP(B270,GiaCuoc!$A$2:$C$6,3,FALSE),"Kiểm tra mã dịch vụ")</f>
        <v/>
      </c>
      <c r="F270" s="2">
        <f>IF(E270="Kiểm tra mã dịch vụ","Cần kiểm tra","Đã tra cước")</f>
        <v/>
      </c>
      <c r="G270" s="5" t="n">
        <v>46292</v>
      </c>
    </row>
    <row r="271">
      <c r="A271" s="2" t="inlineStr">
        <is>
          <t>FM000270</t>
        </is>
      </c>
      <c r="B271" s="2" t="inlineStr">
        <is>
          <t>FM-TIETKIEM</t>
        </is>
      </c>
      <c r="C271" s="2" t="inlineStr">
        <is>
          <t>Tiết kiệm</t>
        </is>
      </c>
      <c r="D271" s="3" t="n">
        <v>1</v>
      </c>
      <c r="E271" s="4">
        <f>IFERROR(VLOOKUP(B271,GiaCuoc!$A$2:$C$6,3,FALSE),"Kiểm tra mã dịch vụ")</f>
        <v/>
      </c>
      <c r="F271" s="2">
        <f>IF(E271="Kiểm tra mã dịch vụ","Cần kiểm tra","Đã tra cước")</f>
        <v/>
      </c>
      <c r="G271" s="5" t="n">
        <v>46321</v>
      </c>
    </row>
    <row r="272">
      <c r="A272" s="2" t="inlineStr">
        <is>
          <t>FM000271</t>
        </is>
      </c>
      <c r="B272" s="2" t="inlineStr">
        <is>
          <t>FM-NOIBAI</t>
        </is>
      </c>
      <c r="C272" s="2" t="inlineStr">
        <is>
          <t>Nội thành</t>
        </is>
      </c>
      <c r="D272" s="3" t="n">
        <v>2.3</v>
      </c>
      <c r="E272" s="4">
        <f>IFERROR(VLOOKUP(B272,GiaCuoc!$A$2:$C$6,3,FALSE),"Kiểm tra mã dịch vụ")</f>
        <v/>
      </c>
      <c r="F272" s="2">
        <f>IF(E272="Kiểm tra mã dịch vụ","Cần kiểm tra","Đã tra cước")</f>
        <v/>
      </c>
      <c r="G272" s="5" t="n">
        <v>46320</v>
      </c>
    </row>
    <row r="273">
      <c r="A273" s="2" t="inlineStr">
        <is>
          <t>FM000272</t>
        </is>
      </c>
      <c r="B273" s="2" t="inlineStr">
        <is>
          <t>FM-NGOAITHANH</t>
        </is>
      </c>
      <c r="C273" s="2" t="inlineStr">
        <is>
          <t>Ngoại thành</t>
        </is>
      </c>
      <c r="D273" s="3" t="n">
        <v>3.6</v>
      </c>
      <c r="E273" s="4">
        <f>IFERROR(VLOOKUP(B273,GiaCuoc!$A$2:$C$6,3,FALSE),"Kiểm tra mã dịch vụ")</f>
        <v/>
      </c>
      <c r="F273" s="2">
        <f>IF(E273="Kiểm tra mã dịch vụ","Cần kiểm tra","Đã tra cước")</f>
        <v/>
      </c>
      <c r="G273" s="5" t="n">
        <v>46319</v>
      </c>
    </row>
    <row r="274">
      <c r="A274" s="2" t="inlineStr">
        <is>
          <t>FM000273</t>
        </is>
      </c>
      <c r="B274" s="2" t="inlineStr">
        <is>
          <t>FM-LIENMIEN</t>
        </is>
      </c>
      <c r="C274" s="2" t="inlineStr">
        <is>
          <t>Liên miền</t>
        </is>
      </c>
      <c r="D274" s="3" t="n">
        <v>4.9</v>
      </c>
      <c r="E274" s="4">
        <f>IFERROR(VLOOKUP(B274,GiaCuoc!$A$2:$C$6,3,FALSE),"Kiểm tra mã dịch vụ")</f>
        <v/>
      </c>
      <c r="F274" s="2">
        <f>IF(E274="Kiểm tra mã dịch vụ","Cần kiểm tra","Đã tra cước")</f>
        <v/>
      </c>
      <c r="G274" s="5" t="n">
        <v>46318</v>
      </c>
    </row>
    <row r="275">
      <c r="A275" s="2" t="inlineStr">
        <is>
          <t>FM000274</t>
        </is>
      </c>
      <c r="B275" s="2" t="inlineStr">
        <is>
          <t>FM-HOATOC</t>
        </is>
      </c>
      <c r="C275" s="2" t="inlineStr">
        <is>
          <t>Hỏa tốc</t>
        </is>
      </c>
      <c r="D275" s="3" t="n">
        <v>6.2</v>
      </c>
      <c r="E275" s="4">
        <f>IFERROR(VLOOKUP(B275,GiaCuoc!$A$2:$C$6,3,FALSE),"Kiểm tra mã dịch vụ")</f>
        <v/>
      </c>
      <c r="F275" s="2">
        <f>IF(E275="Kiểm tra mã dịch vụ","Cần kiểm tra","Đã tra cước")</f>
        <v/>
      </c>
      <c r="G275" s="5" t="n">
        <v>46317</v>
      </c>
    </row>
    <row r="276">
      <c r="A276" s="2" t="inlineStr">
        <is>
          <t>FM000275</t>
        </is>
      </c>
      <c r="B276" s="2" t="inlineStr">
        <is>
          <t>FM-TIETKIEM</t>
        </is>
      </c>
      <c r="C276" s="2" t="inlineStr">
        <is>
          <t>Tiết kiệm</t>
        </is>
      </c>
      <c r="D276" s="3" t="n">
        <v>7.5</v>
      </c>
      <c r="E276" s="4">
        <f>IFERROR(VLOOKUP(B276,GiaCuoc!$A$2:$C$6,3,FALSE),"Kiểm tra mã dịch vụ")</f>
        <v/>
      </c>
      <c r="F276" s="2">
        <f>IF(E276="Kiểm tra mã dịch vụ","Cần kiểm tra","Đã tra cước")</f>
        <v/>
      </c>
      <c r="G276" s="5" t="n">
        <v>46316</v>
      </c>
    </row>
    <row r="277">
      <c r="A277" s="2" t="inlineStr">
        <is>
          <t>FM000276</t>
        </is>
      </c>
      <c r="B277" s="2" t="inlineStr">
        <is>
          <t>FM-NOIBAI</t>
        </is>
      </c>
      <c r="C277" s="2" t="inlineStr">
        <is>
          <t>Nội thành</t>
        </is>
      </c>
      <c r="D277" s="3" t="n">
        <v>8.800000000000001</v>
      </c>
      <c r="E277" s="4">
        <f>IFERROR(VLOOKUP(B277,GiaCuoc!$A$2:$C$6,3,FALSE),"Kiểm tra mã dịch vụ")</f>
        <v/>
      </c>
      <c r="F277" s="2">
        <f>IF(E277="Kiểm tra mã dịch vụ","Cần kiểm tra","Đã tra cước")</f>
        <v/>
      </c>
      <c r="G277" s="5" t="n">
        <v>46315</v>
      </c>
    </row>
    <row r="278">
      <c r="A278" s="2" t="inlineStr">
        <is>
          <t>FM000277</t>
        </is>
      </c>
      <c r="B278" s="2" t="inlineStr">
        <is>
          <t>FM-NGOAITHANH</t>
        </is>
      </c>
      <c r="C278" s="2" t="inlineStr">
        <is>
          <t>Ngoại thành</t>
        </is>
      </c>
      <c r="D278" s="3" t="n">
        <v>10.1</v>
      </c>
      <c r="E278" s="4">
        <f>IFERROR(VLOOKUP(B278,GiaCuoc!$A$2:$C$6,3,FALSE),"Kiểm tra mã dịch vụ")</f>
        <v/>
      </c>
      <c r="F278" s="2">
        <f>IF(E278="Kiểm tra mã dịch vụ","Cần kiểm tra","Đã tra cước")</f>
        <v/>
      </c>
      <c r="G278" s="5" t="n">
        <v>46314</v>
      </c>
    </row>
    <row r="279">
      <c r="A279" s="2" t="inlineStr">
        <is>
          <t>FM000278</t>
        </is>
      </c>
      <c r="B279" s="2" t="inlineStr">
        <is>
          <t>FM-LIENMIEN</t>
        </is>
      </c>
      <c r="C279" s="2" t="inlineStr">
        <is>
          <t>Liên miền</t>
        </is>
      </c>
      <c r="D279" s="3" t="n">
        <v>11.4</v>
      </c>
      <c r="E279" s="4">
        <f>IFERROR(VLOOKUP(B279,GiaCuoc!$A$2:$C$6,3,FALSE),"Kiểm tra mã dịch vụ")</f>
        <v/>
      </c>
      <c r="F279" s="2">
        <f>IF(E279="Kiểm tra mã dịch vụ","Cần kiểm tra","Đã tra cước")</f>
        <v/>
      </c>
      <c r="G279" s="5" t="n">
        <v>46313</v>
      </c>
    </row>
    <row r="280">
      <c r="A280" s="2" t="inlineStr">
        <is>
          <t>FM000279</t>
        </is>
      </c>
      <c r="B280" s="2" t="inlineStr">
        <is>
          <t>FM-HOATOC</t>
        </is>
      </c>
      <c r="C280" s="2" t="inlineStr">
        <is>
          <t>Hỏa tốc</t>
        </is>
      </c>
      <c r="D280" s="3" t="n">
        <v>12.7</v>
      </c>
      <c r="E280" s="4">
        <f>IFERROR(VLOOKUP(B280,GiaCuoc!$A$2:$C$6,3,FALSE),"Kiểm tra mã dịch vụ")</f>
        <v/>
      </c>
      <c r="F280" s="2">
        <f>IF(E280="Kiểm tra mã dịch vụ","Cần kiểm tra","Đã tra cước")</f>
        <v/>
      </c>
      <c r="G280" s="5" t="n">
        <v>46312</v>
      </c>
    </row>
    <row r="281">
      <c r="A281" s="2" t="inlineStr">
        <is>
          <t>FM000280</t>
        </is>
      </c>
      <c r="B281" s="2" t="inlineStr">
        <is>
          <t>FM-TIETKIEM</t>
        </is>
      </c>
      <c r="C281" s="2" t="inlineStr">
        <is>
          <t>Tiết kiệm</t>
        </is>
      </c>
      <c r="D281" s="3" t="n">
        <v>14</v>
      </c>
      <c r="E281" s="4">
        <f>IFERROR(VLOOKUP(B281,GiaCuoc!$A$2:$C$6,3,FALSE),"Kiểm tra mã dịch vụ")</f>
        <v/>
      </c>
      <c r="F281" s="2">
        <f>IF(E281="Kiểm tra mã dịch vụ","Cần kiểm tra","Đã tra cước")</f>
        <v/>
      </c>
      <c r="G281" s="5" t="n">
        <v>46311</v>
      </c>
    </row>
    <row r="282">
      <c r="A282" s="2" t="inlineStr">
        <is>
          <t>FM000281</t>
        </is>
      </c>
      <c r="B282" s="2" t="inlineStr">
        <is>
          <t>FM-NOIBAI</t>
        </is>
      </c>
      <c r="C282" s="2" t="inlineStr">
        <is>
          <t>Nội thành</t>
        </is>
      </c>
      <c r="D282" s="3" t="n">
        <v>15.3</v>
      </c>
      <c r="E282" s="4">
        <f>IFERROR(VLOOKUP(B282,GiaCuoc!$A$2:$C$6,3,FALSE),"Kiểm tra mã dịch vụ")</f>
        <v/>
      </c>
      <c r="F282" s="2">
        <f>IF(E282="Kiểm tra mã dịch vụ","Cần kiểm tra","Đã tra cước")</f>
        <v/>
      </c>
      <c r="G282" s="5" t="n">
        <v>46310</v>
      </c>
    </row>
    <row r="283">
      <c r="A283" s="2" t="inlineStr">
        <is>
          <t>FM000282</t>
        </is>
      </c>
      <c r="B283" s="2" t="inlineStr">
        <is>
          <t>FM-NGOAITHANH</t>
        </is>
      </c>
      <c r="C283" s="2" t="inlineStr">
        <is>
          <t>Ngoại thành</t>
        </is>
      </c>
      <c r="D283" s="3" t="n">
        <v>16.6</v>
      </c>
      <c r="E283" s="4">
        <f>IFERROR(VLOOKUP(B283,GiaCuoc!$A$2:$C$6,3,FALSE),"Kiểm tra mã dịch vụ")</f>
        <v/>
      </c>
      <c r="F283" s="2">
        <f>IF(E283="Kiểm tra mã dịch vụ","Cần kiểm tra","Đã tra cước")</f>
        <v/>
      </c>
      <c r="G283" s="5" t="n">
        <v>46309</v>
      </c>
    </row>
    <row r="284">
      <c r="A284" s="2" t="inlineStr">
        <is>
          <t>FM000283</t>
        </is>
      </c>
      <c r="B284" s="2" t="inlineStr">
        <is>
          <t>FM-LIENMIEN</t>
        </is>
      </c>
      <c r="C284" s="2" t="inlineStr">
        <is>
          <t>Liên miền</t>
        </is>
      </c>
      <c r="D284" s="3" t="n">
        <v>17.9</v>
      </c>
      <c r="E284" s="4">
        <f>IFERROR(VLOOKUP(B284,GiaCuoc!$A$2:$C$6,3,FALSE),"Kiểm tra mã dịch vụ")</f>
        <v/>
      </c>
      <c r="F284" s="2">
        <f>IF(E284="Kiểm tra mã dịch vụ","Cần kiểm tra","Đã tra cước")</f>
        <v/>
      </c>
      <c r="G284" s="5" t="n">
        <v>46308</v>
      </c>
    </row>
    <row r="285">
      <c r="A285" s="2" t="inlineStr">
        <is>
          <t>FM000284</t>
        </is>
      </c>
      <c r="B285" s="2" t="inlineStr">
        <is>
          <t>FM-HOATOC</t>
        </is>
      </c>
      <c r="C285" s="2" t="inlineStr">
        <is>
          <t>Hỏa tốc</t>
        </is>
      </c>
      <c r="D285" s="3" t="n">
        <v>19.2</v>
      </c>
      <c r="E285" s="4">
        <f>IFERROR(VLOOKUP(B285,GiaCuoc!$A$2:$C$6,3,FALSE),"Kiểm tra mã dịch vụ")</f>
        <v/>
      </c>
      <c r="F285" s="2">
        <f>IF(E285="Kiểm tra mã dịch vụ","Cần kiểm tra","Đã tra cước")</f>
        <v/>
      </c>
      <c r="G285" s="5" t="n">
        <v>46307</v>
      </c>
    </row>
    <row r="286">
      <c r="A286" s="2" t="inlineStr">
        <is>
          <t>FM000285</t>
        </is>
      </c>
      <c r="B286" s="2" t="inlineStr">
        <is>
          <t>FM-TIETKIEM</t>
        </is>
      </c>
      <c r="C286" s="2" t="inlineStr">
        <is>
          <t>Tiết kiệm</t>
        </is>
      </c>
      <c r="D286" s="3" t="n">
        <v>20.5</v>
      </c>
      <c r="E286" s="4">
        <f>IFERROR(VLOOKUP(B286,GiaCuoc!$A$2:$C$6,3,FALSE),"Kiểm tra mã dịch vụ")</f>
        <v/>
      </c>
      <c r="F286" s="2">
        <f>IF(E286="Kiểm tra mã dịch vụ","Cần kiểm tra","Đã tra cước")</f>
        <v/>
      </c>
      <c r="G286" s="5" t="n">
        <v>46306</v>
      </c>
    </row>
    <row r="287">
      <c r="A287" s="2" t="inlineStr">
        <is>
          <t>FM000286</t>
        </is>
      </c>
      <c r="B287" s="2" t="inlineStr">
        <is>
          <t>FM-NOIBAI</t>
        </is>
      </c>
      <c r="C287" s="2" t="inlineStr">
        <is>
          <t>Nội thành</t>
        </is>
      </c>
      <c r="D287" s="3" t="n">
        <v>21.8</v>
      </c>
      <c r="E287" s="4">
        <f>IFERROR(VLOOKUP(B287,GiaCuoc!$A$2:$C$6,3,FALSE),"Kiểm tra mã dịch vụ")</f>
        <v/>
      </c>
      <c r="F287" s="2">
        <f>IF(E287="Kiểm tra mã dịch vụ","Cần kiểm tra","Đã tra cước")</f>
        <v/>
      </c>
      <c r="G287" s="5" t="n">
        <v>46305</v>
      </c>
    </row>
    <row r="288">
      <c r="A288" s="2" t="inlineStr">
        <is>
          <t>FM000287</t>
        </is>
      </c>
      <c r="B288" s="2" t="inlineStr">
        <is>
          <t>FM-NGOAITHANH</t>
        </is>
      </c>
      <c r="C288" s="2" t="inlineStr">
        <is>
          <t>Ngoại thành</t>
        </is>
      </c>
      <c r="D288" s="3" t="n">
        <v>23.1</v>
      </c>
      <c r="E288" s="4">
        <f>IFERROR(VLOOKUP(B288,GiaCuoc!$A$2:$C$6,3,FALSE),"Kiểm tra mã dịch vụ")</f>
        <v/>
      </c>
      <c r="F288" s="2">
        <f>IF(E288="Kiểm tra mã dịch vụ","Cần kiểm tra","Đã tra cước")</f>
        <v/>
      </c>
      <c r="G288" s="5" t="n">
        <v>46304</v>
      </c>
    </row>
    <row r="289">
      <c r="A289" s="2" t="inlineStr">
        <is>
          <t>FM000288</t>
        </is>
      </c>
      <c r="B289" s="2" t="inlineStr">
        <is>
          <t>FM-LIENMIEN</t>
        </is>
      </c>
      <c r="C289" s="2" t="inlineStr">
        <is>
          <t>Liên miền</t>
        </is>
      </c>
      <c r="D289" s="3" t="n">
        <v>24.4</v>
      </c>
      <c r="E289" s="4">
        <f>IFERROR(VLOOKUP(B289,GiaCuoc!$A$2:$C$6,3,FALSE),"Kiểm tra mã dịch vụ")</f>
        <v/>
      </c>
      <c r="F289" s="2">
        <f>IF(E289="Kiểm tra mã dịch vụ","Cần kiểm tra","Đã tra cước")</f>
        <v/>
      </c>
      <c r="G289" s="5" t="n">
        <v>46303</v>
      </c>
    </row>
    <row r="290">
      <c r="A290" s="2" t="inlineStr">
        <is>
          <t>FM000289</t>
        </is>
      </c>
      <c r="B290" s="2" t="inlineStr">
        <is>
          <t>FM-HOATOC</t>
        </is>
      </c>
      <c r="C290" s="2" t="inlineStr">
        <is>
          <t>Hỏa tốc</t>
        </is>
      </c>
      <c r="D290" s="3" t="n">
        <v>0.7</v>
      </c>
      <c r="E290" s="4">
        <f>IFERROR(VLOOKUP(B290,GiaCuoc!$A$2:$C$6,3,FALSE),"Kiểm tra mã dịch vụ")</f>
        <v/>
      </c>
      <c r="F290" s="2">
        <f>IF(E290="Kiểm tra mã dịch vụ","Cần kiểm tra","Đã tra cước")</f>
        <v/>
      </c>
      <c r="G290" s="5" t="n">
        <v>46302</v>
      </c>
    </row>
    <row r="291">
      <c r="A291" s="2" t="inlineStr">
        <is>
          <t>FM000290</t>
        </is>
      </c>
      <c r="B291" s="2" t="inlineStr">
        <is>
          <t>FM-TIETKIEM</t>
        </is>
      </c>
      <c r="C291" s="2" t="inlineStr">
        <is>
          <t>Tiết kiệm</t>
        </is>
      </c>
      <c r="D291" s="3" t="n">
        <v>2</v>
      </c>
      <c r="E291" s="4">
        <f>IFERROR(VLOOKUP(B291,GiaCuoc!$A$2:$C$6,3,FALSE),"Kiểm tra mã dịch vụ")</f>
        <v/>
      </c>
      <c r="F291" s="2">
        <f>IF(E291="Kiểm tra mã dịch vụ","Cần kiểm tra","Đã tra cước")</f>
        <v/>
      </c>
      <c r="G291" s="5" t="n">
        <v>46301</v>
      </c>
    </row>
    <row r="292">
      <c r="A292" s="2" t="inlineStr">
        <is>
          <t>FM000291</t>
        </is>
      </c>
      <c r="B292" s="2" t="inlineStr">
        <is>
          <t>FM-NOIBAI</t>
        </is>
      </c>
      <c r="C292" s="2" t="inlineStr">
        <is>
          <t>Nội thành</t>
        </is>
      </c>
      <c r="D292" s="3" t="n">
        <v>3.3</v>
      </c>
      <c r="E292" s="4">
        <f>IFERROR(VLOOKUP(B292,GiaCuoc!$A$2:$C$6,3,FALSE),"Kiểm tra mã dịch vụ")</f>
        <v/>
      </c>
      <c r="F292" s="2">
        <f>IF(E292="Kiểm tra mã dịch vụ","Cần kiểm tra","Đã tra cước")</f>
        <v/>
      </c>
      <c r="G292" s="5" t="n">
        <v>46300</v>
      </c>
    </row>
    <row r="293">
      <c r="A293" s="2" t="inlineStr">
        <is>
          <t>FM000292</t>
        </is>
      </c>
      <c r="B293" s="2" t="inlineStr">
        <is>
          <t>FM-NGOAITHANH</t>
        </is>
      </c>
      <c r="C293" s="2" t="inlineStr">
        <is>
          <t>Ngoại thành</t>
        </is>
      </c>
      <c r="D293" s="3" t="n">
        <v>4.6</v>
      </c>
      <c r="E293" s="4">
        <f>IFERROR(VLOOKUP(B293,GiaCuoc!$A$2:$C$6,3,FALSE),"Kiểm tra mã dịch vụ")</f>
        <v/>
      </c>
      <c r="F293" s="2">
        <f>IF(E293="Kiểm tra mã dịch vụ","Cần kiểm tra","Đã tra cước")</f>
        <v/>
      </c>
      <c r="G293" s="5" t="n">
        <v>46299</v>
      </c>
    </row>
    <row r="294">
      <c r="A294" s="2" t="inlineStr">
        <is>
          <t>FM000293</t>
        </is>
      </c>
      <c r="B294" s="2" t="inlineStr">
        <is>
          <t>FM-LIENMIEN</t>
        </is>
      </c>
      <c r="C294" s="2" t="inlineStr">
        <is>
          <t>Liên miền</t>
        </is>
      </c>
      <c r="D294" s="3" t="n">
        <v>5.9</v>
      </c>
      <c r="E294" s="4">
        <f>IFERROR(VLOOKUP(B294,GiaCuoc!$A$2:$C$6,3,FALSE),"Kiểm tra mã dịch vụ")</f>
        <v/>
      </c>
      <c r="F294" s="2">
        <f>IF(E294="Kiểm tra mã dịch vụ","Cần kiểm tra","Đã tra cước")</f>
        <v/>
      </c>
      <c r="G294" s="5" t="n">
        <v>46298</v>
      </c>
    </row>
    <row r="295">
      <c r="A295" s="2" t="inlineStr">
        <is>
          <t>FM000294</t>
        </is>
      </c>
      <c r="B295" s="2" t="inlineStr">
        <is>
          <t>FM-HOATOC</t>
        </is>
      </c>
      <c r="C295" s="2" t="inlineStr">
        <is>
          <t>Hỏa tốc</t>
        </is>
      </c>
      <c r="D295" s="3" t="n">
        <v>7.2</v>
      </c>
      <c r="E295" s="4">
        <f>IFERROR(VLOOKUP(B295,GiaCuoc!$A$2:$C$6,3,FALSE),"Kiểm tra mã dịch vụ")</f>
        <v/>
      </c>
      <c r="F295" s="2">
        <f>IF(E295="Kiểm tra mã dịch vụ","Cần kiểm tra","Đã tra cước")</f>
        <v/>
      </c>
      <c r="G295" s="5" t="n">
        <v>46297</v>
      </c>
    </row>
    <row r="296">
      <c r="A296" s="2" t="inlineStr">
        <is>
          <t>FM000295</t>
        </is>
      </c>
      <c r="B296" s="2" t="inlineStr">
        <is>
          <t>FM-TIETKIEM</t>
        </is>
      </c>
      <c r="C296" s="2" t="inlineStr">
        <is>
          <t>Tiết kiệm</t>
        </is>
      </c>
      <c r="D296" s="3" t="n">
        <v>8.5</v>
      </c>
      <c r="E296" s="4">
        <f>IFERROR(VLOOKUP(B296,GiaCuoc!$A$2:$C$6,3,FALSE),"Kiểm tra mã dịch vụ")</f>
        <v/>
      </c>
      <c r="F296" s="2">
        <f>IF(E296="Kiểm tra mã dịch vụ","Cần kiểm tra","Đã tra cước")</f>
        <v/>
      </c>
      <c r="G296" s="5" t="n">
        <v>46296</v>
      </c>
    </row>
    <row r="297">
      <c r="A297" s="2" t="inlineStr">
        <is>
          <t>FM000296</t>
        </is>
      </c>
      <c r="B297" s="2" t="inlineStr">
        <is>
          <t>FM-NOIBAI</t>
        </is>
      </c>
      <c r="C297" s="2" t="inlineStr">
        <is>
          <t>Nội thành</t>
        </is>
      </c>
      <c r="D297" s="3" t="n">
        <v>9.800000000000001</v>
      </c>
      <c r="E297" s="4">
        <f>IFERROR(VLOOKUP(B297,GiaCuoc!$A$2:$C$6,3,FALSE),"Kiểm tra mã dịch vụ")</f>
        <v/>
      </c>
      <c r="F297" s="2">
        <f>IF(E297="Kiểm tra mã dịch vụ","Cần kiểm tra","Đã tra cước")</f>
        <v/>
      </c>
      <c r="G297" s="5" t="n">
        <v>46295</v>
      </c>
    </row>
    <row r="298">
      <c r="A298" s="2" t="inlineStr">
        <is>
          <t>FM000297</t>
        </is>
      </c>
      <c r="B298" s="2" t="inlineStr">
        <is>
          <t>FM-NGOAITHANH</t>
        </is>
      </c>
      <c r="C298" s="2" t="inlineStr">
        <is>
          <t>Ngoại thành</t>
        </is>
      </c>
      <c r="D298" s="3" t="n">
        <v>11.1</v>
      </c>
      <c r="E298" s="4">
        <f>IFERROR(VLOOKUP(B298,GiaCuoc!$A$2:$C$6,3,FALSE),"Kiểm tra mã dịch vụ")</f>
        <v/>
      </c>
      <c r="F298" s="2">
        <f>IF(E298="Kiểm tra mã dịch vụ","Cần kiểm tra","Đã tra cước")</f>
        <v/>
      </c>
      <c r="G298" s="5" t="n">
        <v>46294</v>
      </c>
    </row>
    <row r="299">
      <c r="A299" s="2" t="inlineStr">
        <is>
          <t xml:space="preserve"> FM000298#</t>
        </is>
      </c>
      <c r="B299" s="2" t="inlineStr">
        <is>
          <t>FM-LIENMIEN</t>
        </is>
      </c>
      <c r="C299" s="2" t="inlineStr">
        <is>
          <t>Liên miền</t>
        </is>
      </c>
      <c r="D299" s="3" t="n">
        <v>12.4</v>
      </c>
      <c r="E299" s="4">
        <f>IFERROR(VLOOKUP(B299,GiaCuoc!$A$2:$C$6,3,FALSE),"Kiểm tra mã dịch vụ")</f>
        <v/>
      </c>
      <c r="F299" s="2">
        <f>IF(E299="Kiểm tra mã dịch vụ","Cần kiểm tra","Đã tra cước")</f>
        <v/>
      </c>
      <c r="G299" s="5" t="n">
        <v>46293</v>
      </c>
    </row>
    <row r="300">
      <c r="A300" s="2" t="inlineStr">
        <is>
          <t>FM000299</t>
        </is>
      </c>
      <c r="B300" s="2" t="inlineStr">
        <is>
          <t>FM-HOATOC</t>
        </is>
      </c>
      <c r="C300" s="2" t="inlineStr">
        <is>
          <t>Hỏa tốc</t>
        </is>
      </c>
      <c r="D300" s="3" t="n">
        <v>13.7</v>
      </c>
      <c r="E300" s="4">
        <f>IFERROR(VLOOKUP(B300,GiaCuoc!$A$2:$C$6,3,FALSE),"Kiểm tra mã dịch vụ")</f>
        <v/>
      </c>
      <c r="F300" s="2">
        <f>IF(E300="Kiểm tra mã dịch vụ","Cần kiểm tra","Đã tra cước")</f>
        <v/>
      </c>
      <c r="G300" s="5" t="n">
        <v>46292</v>
      </c>
    </row>
    <row r="301">
      <c r="A301" s="2" t="inlineStr">
        <is>
          <t>FM000300</t>
        </is>
      </c>
      <c r="B301" s="2" t="inlineStr">
        <is>
          <t>FM-TIETKIEM</t>
        </is>
      </c>
      <c r="C301" s="2" t="inlineStr">
        <is>
          <t>Tiết kiệm</t>
        </is>
      </c>
      <c r="D301" s="3" t="n">
        <v>15</v>
      </c>
      <c r="E301" s="4">
        <f>IFERROR(VLOOKUP(B301,GiaCuoc!$A$2:$C$6,3,FALSE),"Kiểm tra mã dịch vụ")</f>
        <v/>
      </c>
      <c r="F301" s="2">
        <f>IF(E301="Kiểm tra mã dịch vụ","Cần kiểm tra","Đã tra cước")</f>
        <v/>
      </c>
      <c r="G301" s="5" t="n">
        <v>46321</v>
      </c>
    </row>
    <row r="302">
      <c r="A302" s="2" t="inlineStr">
        <is>
          <t>FM000301</t>
        </is>
      </c>
      <c r="B302" s="2" t="inlineStr">
        <is>
          <t>FM-NOIBAI</t>
        </is>
      </c>
      <c r="C302" s="2" t="inlineStr">
        <is>
          <t>Nội thành</t>
        </is>
      </c>
      <c r="D302" s="3" t="n">
        <v>16.3</v>
      </c>
      <c r="E302" s="4">
        <f>IFERROR(VLOOKUP(B302,GiaCuoc!$A$2:$C$6,3,FALSE),"Kiểm tra mã dịch vụ")</f>
        <v/>
      </c>
      <c r="F302" s="2">
        <f>IF(E302="Kiểm tra mã dịch vụ","Cần kiểm tra","Đã tra cước")</f>
        <v/>
      </c>
      <c r="G302" s="5" t="n">
        <v>46320</v>
      </c>
    </row>
    <row r="303">
      <c r="A303" s="2" t="inlineStr">
        <is>
          <t>FM000302</t>
        </is>
      </c>
      <c r="B303" s="2" t="inlineStr">
        <is>
          <t>FM-NGOAITHANH</t>
        </is>
      </c>
      <c r="C303" s="2" t="inlineStr">
        <is>
          <t>Ngoại thành</t>
        </is>
      </c>
      <c r="D303" s="3" t="n">
        <v>17.6</v>
      </c>
      <c r="E303" s="4">
        <f>IFERROR(VLOOKUP(B303,GiaCuoc!$A$2:$C$6,3,FALSE),"Kiểm tra mã dịch vụ")</f>
        <v/>
      </c>
      <c r="F303" s="2">
        <f>IF(E303="Kiểm tra mã dịch vụ","Cần kiểm tra","Đã tra cước")</f>
        <v/>
      </c>
      <c r="G303" s="5" t="n">
        <v>46319</v>
      </c>
    </row>
    <row r="304">
      <c r="A304" s="2" t="inlineStr">
        <is>
          <t>FM000303</t>
        </is>
      </c>
      <c r="B304" s="2" t="inlineStr">
        <is>
          <t>FM-LIENMIEN</t>
        </is>
      </c>
      <c r="C304" s="2" t="inlineStr">
        <is>
          <t>Liên miền</t>
        </is>
      </c>
      <c r="D304" s="3" t="n">
        <v>18.9</v>
      </c>
      <c r="E304" s="4">
        <f>IFERROR(VLOOKUP(B304,GiaCuoc!$A$2:$C$6,3,FALSE),"Kiểm tra mã dịch vụ")</f>
        <v/>
      </c>
      <c r="F304" s="2">
        <f>IF(E304="Kiểm tra mã dịch vụ","Cần kiểm tra","Đã tra cước")</f>
        <v/>
      </c>
      <c r="G304" s="5" t="n">
        <v>46318</v>
      </c>
    </row>
    <row r="305">
      <c r="A305" s="2" t="inlineStr">
        <is>
          <t>FM000304</t>
        </is>
      </c>
      <c r="B305" s="2" t="inlineStr">
        <is>
          <t>FM-HOATOC</t>
        </is>
      </c>
      <c r="C305" s="2" t="inlineStr">
        <is>
          <t>Hỏa tốc</t>
        </is>
      </c>
      <c r="D305" s="3" t="n">
        <v>20.2</v>
      </c>
      <c r="E305" s="4">
        <f>IFERROR(VLOOKUP(B305,GiaCuoc!$A$2:$C$6,3,FALSE),"Kiểm tra mã dịch vụ")</f>
        <v/>
      </c>
      <c r="F305" s="2">
        <f>IF(E305="Kiểm tra mã dịch vụ","Cần kiểm tra","Đã tra cước")</f>
        <v/>
      </c>
      <c r="G305" s="5" t="n">
        <v>46317</v>
      </c>
    </row>
    <row r="306">
      <c r="A306" s="2" t="inlineStr">
        <is>
          <t>FM000305</t>
        </is>
      </c>
      <c r="B306" s="2" t="inlineStr">
        <is>
          <t>FM-TIETKIEM</t>
        </is>
      </c>
      <c r="C306" s="2" t="inlineStr">
        <is>
          <t>Tiết kiệm</t>
        </is>
      </c>
      <c r="D306" s="3" t="n">
        <v>21.5</v>
      </c>
      <c r="E306" s="4">
        <f>IFERROR(VLOOKUP(B306,GiaCuoc!$A$2:$C$6,3,FALSE),"Kiểm tra mã dịch vụ")</f>
        <v/>
      </c>
      <c r="F306" s="2">
        <f>IF(E306="Kiểm tra mã dịch vụ","Cần kiểm tra","Đã tra cước")</f>
        <v/>
      </c>
      <c r="G306" s="5" t="n">
        <v>46316</v>
      </c>
    </row>
    <row r="307">
      <c r="A307" s="2" t="inlineStr">
        <is>
          <t>FM000306</t>
        </is>
      </c>
      <c r="B307" s="2" t="inlineStr">
        <is>
          <t>FM-NOIBAI</t>
        </is>
      </c>
      <c r="C307" s="2" t="inlineStr">
        <is>
          <t>Nội thành</t>
        </is>
      </c>
      <c r="D307" s="3" t="n">
        <v>22.8</v>
      </c>
      <c r="E307" s="4">
        <f>IFERROR(VLOOKUP(B307,GiaCuoc!$A$2:$C$6,3,FALSE),"Kiểm tra mã dịch vụ")</f>
        <v/>
      </c>
      <c r="F307" s="2">
        <f>IF(E307="Kiểm tra mã dịch vụ","Cần kiểm tra","Đã tra cước")</f>
        <v/>
      </c>
      <c r="G307" s="5" t="n">
        <v>46315</v>
      </c>
    </row>
    <row r="308">
      <c r="A308" s="2" t="inlineStr">
        <is>
          <t>FM000307</t>
        </is>
      </c>
      <c r="B308" s="2" t="inlineStr">
        <is>
          <t>FM-NGOAITHANH</t>
        </is>
      </c>
      <c r="C308" s="2" t="inlineStr">
        <is>
          <t>Ngoại thành</t>
        </is>
      </c>
      <c r="D308" s="3" t="n">
        <v>24.1</v>
      </c>
      <c r="E308" s="4">
        <f>IFERROR(VLOOKUP(B308,GiaCuoc!$A$2:$C$6,3,FALSE),"Kiểm tra mã dịch vụ")</f>
        <v/>
      </c>
      <c r="F308" s="2">
        <f>IF(E308="Kiểm tra mã dịch vụ","Cần kiểm tra","Đã tra cước")</f>
        <v/>
      </c>
      <c r="G308" s="5" t="n">
        <v>46314</v>
      </c>
    </row>
    <row r="309">
      <c r="A309" s="2" t="inlineStr">
        <is>
          <t>FM000308</t>
        </is>
      </c>
      <c r="B309" s="2" t="inlineStr">
        <is>
          <t>FM-LIENMIEN</t>
        </is>
      </c>
      <c r="C309" s="2" t="inlineStr">
        <is>
          <t>Liên miền</t>
        </is>
      </c>
      <c r="D309" s="3" t="n">
        <v>0.4</v>
      </c>
      <c r="E309" s="4">
        <f>IFERROR(VLOOKUP(B309,GiaCuoc!$A$2:$C$6,3,FALSE),"Kiểm tra mã dịch vụ")</f>
        <v/>
      </c>
      <c r="F309" s="2">
        <f>IF(E309="Kiểm tra mã dịch vụ","Cần kiểm tra","Đã tra cước")</f>
        <v/>
      </c>
      <c r="G309" s="5" t="n">
        <v>46313</v>
      </c>
    </row>
    <row r="310">
      <c r="A310" s="2" t="inlineStr">
        <is>
          <t>FM000309</t>
        </is>
      </c>
      <c r="B310" s="2" t="inlineStr">
        <is>
          <t>FM-HOATOC</t>
        </is>
      </c>
      <c r="C310" s="2" t="inlineStr">
        <is>
          <t>Hỏa tốc</t>
        </is>
      </c>
      <c r="D310" s="3" t="n">
        <v>1.7</v>
      </c>
      <c r="E310" s="4">
        <f>IFERROR(VLOOKUP(B310,GiaCuoc!$A$2:$C$6,3,FALSE),"Kiểm tra mã dịch vụ")</f>
        <v/>
      </c>
      <c r="F310" s="2">
        <f>IF(E310="Kiểm tra mã dịch vụ","Cần kiểm tra","Đã tra cước")</f>
        <v/>
      </c>
      <c r="G310" s="5" t="n">
        <v>46312</v>
      </c>
    </row>
    <row r="311">
      <c r="A311" s="2" t="inlineStr">
        <is>
          <t>FM000310</t>
        </is>
      </c>
      <c r="B311" s="2" t="inlineStr">
        <is>
          <t>FM-TIETKIEM</t>
        </is>
      </c>
      <c r="C311" s="2" t="inlineStr">
        <is>
          <t>Tiết kiệm</t>
        </is>
      </c>
      <c r="D311" s="3" t="n">
        <v>3</v>
      </c>
      <c r="E311" s="4">
        <f>IFERROR(VLOOKUP(B311,GiaCuoc!$A$2:$C$6,3,FALSE),"Kiểm tra mã dịch vụ")</f>
        <v/>
      </c>
      <c r="F311" s="2">
        <f>IF(E311="Kiểm tra mã dịch vụ","Cần kiểm tra","Đã tra cước")</f>
        <v/>
      </c>
      <c r="G311" s="5" t="n">
        <v>46311</v>
      </c>
    </row>
    <row r="312">
      <c r="A312" s="2" t="inlineStr">
        <is>
          <t>FM000311</t>
        </is>
      </c>
      <c r="B312" s="2" t="inlineStr">
        <is>
          <t>FM-NOIBAI</t>
        </is>
      </c>
      <c r="C312" s="2" t="inlineStr">
        <is>
          <t>Nội thành</t>
        </is>
      </c>
      <c r="D312" s="3" t="n">
        <v>4.3</v>
      </c>
      <c r="E312" s="4">
        <f>IFERROR(VLOOKUP(B312,GiaCuoc!$A$2:$C$6,3,FALSE),"Kiểm tra mã dịch vụ")</f>
        <v/>
      </c>
      <c r="F312" s="2">
        <f>IF(E312="Kiểm tra mã dịch vụ","Cần kiểm tra","Đã tra cước")</f>
        <v/>
      </c>
      <c r="G312" s="5" t="n">
        <v>46310</v>
      </c>
    </row>
    <row r="313">
      <c r="A313" s="2" t="inlineStr">
        <is>
          <t>FM000312</t>
        </is>
      </c>
      <c r="B313" s="2" t="inlineStr">
        <is>
          <t>FM-NGOAITHANH</t>
        </is>
      </c>
      <c r="C313" s="2" t="inlineStr">
        <is>
          <t>Ngoại thành</t>
        </is>
      </c>
      <c r="D313" s="3" t="n">
        <v>5.6</v>
      </c>
      <c r="E313" s="4">
        <f>IFERROR(VLOOKUP(B313,GiaCuoc!$A$2:$C$6,3,FALSE),"Kiểm tra mã dịch vụ")</f>
        <v/>
      </c>
      <c r="F313" s="2">
        <f>IF(E313="Kiểm tra mã dịch vụ","Cần kiểm tra","Đã tra cước")</f>
        <v/>
      </c>
      <c r="G313" s="5" t="n">
        <v>46309</v>
      </c>
    </row>
    <row r="314">
      <c r="A314" s="2" t="inlineStr">
        <is>
          <t>FM000313</t>
        </is>
      </c>
      <c r="B314" s="2" t="inlineStr">
        <is>
          <t>FM-LIENMIEN</t>
        </is>
      </c>
      <c r="C314" s="2" t="inlineStr">
        <is>
          <t>Liên miền</t>
        </is>
      </c>
      <c r="D314" s="3" t="n">
        <v>6.9</v>
      </c>
      <c r="E314" s="4">
        <f>IFERROR(VLOOKUP(B314,GiaCuoc!$A$2:$C$6,3,FALSE),"Kiểm tra mã dịch vụ")</f>
        <v/>
      </c>
      <c r="F314" s="2">
        <f>IF(E314="Kiểm tra mã dịch vụ","Cần kiểm tra","Đã tra cước")</f>
        <v/>
      </c>
      <c r="G314" s="5" t="n">
        <v>46308</v>
      </c>
    </row>
    <row r="315">
      <c r="A315" s="2" t="inlineStr">
        <is>
          <t>FM000314</t>
        </is>
      </c>
      <c r="B315" s="2" t="inlineStr">
        <is>
          <t>FM-HOATOC</t>
        </is>
      </c>
      <c r="C315" s="2" t="inlineStr">
        <is>
          <t>Hỏa tốc</t>
        </is>
      </c>
      <c r="D315" s="3" t="n">
        <v>8.199999999999999</v>
      </c>
      <c r="E315" s="4">
        <f>IFERROR(VLOOKUP(B315,GiaCuoc!$A$2:$C$6,3,FALSE),"Kiểm tra mã dịch vụ")</f>
        <v/>
      </c>
      <c r="F315" s="2">
        <f>IF(E315="Kiểm tra mã dịch vụ","Cần kiểm tra","Đã tra cước")</f>
        <v/>
      </c>
      <c r="G315" s="5" t="n">
        <v>46307</v>
      </c>
    </row>
    <row r="316">
      <c r="A316" s="2" t="inlineStr">
        <is>
          <t>FM000315</t>
        </is>
      </c>
      <c r="B316" s="2" t="inlineStr">
        <is>
          <t>FM-TIETKIEM</t>
        </is>
      </c>
      <c r="C316" s="2" t="inlineStr">
        <is>
          <t>Tiết kiệm</t>
        </is>
      </c>
      <c r="D316" s="3" t="n">
        <v>9.5</v>
      </c>
      <c r="E316" s="4">
        <f>IFERROR(VLOOKUP(B316,GiaCuoc!$A$2:$C$6,3,FALSE),"Kiểm tra mã dịch vụ")</f>
        <v/>
      </c>
      <c r="F316" s="2">
        <f>IF(E316="Kiểm tra mã dịch vụ","Cần kiểm tra","Đã tra cước")</f>
        <v/>
      </c>
      <c r="G316" s="5" t="n">
        <v>46306</v>
      </c>
    </row>
    <row r="317">
      <c r="A317" s="2" t="inlineStr">
        <is>
          <t>FM000316</t>
        </is>
      </c>
      <c r="B317" s="2" t="inlineStr">
        <is>
          <t>FM-NOIBAI</t>
        </is>
      </c>
      <c r="C317" s="2" t="inlineStr">
        <is>
          <t>Nội thành</t>
        </is>
      </c>
      <c r="D317" s="3" t="n">
        <v>10.8</v>
      </c>
      <c r="E317" s="4">
        <f>IFERROR(VLOOKUP(B317,GiaCuoc!$A$2:$C$6,3,FALSE),"Kiểm tra mã dịch vụ")</f>
        <v/>
      </c>
      <c r="F317" s="2">
        <f>IF(E317="Kiểm tra mã dịch vụ","Cần kiểm tra","Đã tra cước")</f>
        <v/>
      </c>
      <c r="G317" s="5" t="n">
        <v>46305</v>
      </c>
    </row>
    <row r="318">
      <c r="A318" s="2" t="inlineStr">
        <is>
          <t>FM000317</t>
        </is>
      </c>
      <c r="B318" s="2" t="inlineStr">
        <is>
          <t>FM-NGOAITHANH</t>
        </is>
      </c>
      <c r="C318" s="2" t="inlineStr">
        <is>
          <t>Ngoại thành</t>
        </is>
      </c>
      <c r="D318" s="3" t="n">
        <v>12.1</v>
      </c>
      <c r="E318" s="4">
        <f>IFERROR(VLOOKUP(B318,GiaCuoc!$A$2:$C$6,3,FALSE),"Kiểm tra mã dịch vụ")</f>
        <v/>
      </c>
      <c r="F318" s="2">
        <f>IF(E318="Kiểm tra mã dịch vụ","Cần kiểm tra","Đã tra cước")</f>
        <v/>
      </c>
      <c r="G318" s="5" t="n">
        <v>46304</v>
      </c>
    </row>
    <row r="319">
      <c r="A319" s="2" t="inlineStr">
        <is>
          <t>FM000318</t>
        </is>
      </c>
      <c r="B319" s="2" t="inlineStr">
        <is>
          <t>FM-LIENMIEN</t>
        </is>
      </c>
      <c r="C319" s="2" t="inlineStr">
        <is>
          <t>Liên miền</t>
        </is>
      </c>
      <c r="D319" s="3" t="n">
        <v>13.4</v>
      </c>
      <c r="E319" s="4">
        <f>IFERROR(VLOOKUP(B319,GiaCuoc!$A$2:$C$6,3,FALSE),"Kiểm tra mã dịch vụ")</f>
        <v/>
      </c>
      <c r="F319" s="2">
        <f>IF(E319="Kiểm tra mã dịch vụ","Cần kiểm tra","Đã tra cước")</f>
        <v/>
      </c>
      <c r="G319" s="5" t="n">
        <v>46303</v>
      </c>
    </row>
    <row r="320">
      <c r="A320" s="2" t="inlineStr">
        <is>
          <t>FM000319</t>
        </is>
      </c>
      <c r="B320" s="2" t="inlineStr">
        <is>
          <t>FM-HOATOC</t>
        </is>
      </c>
      <c r="C320" s="2" t="inlineStr">
        <is>
          <t>Hỏa tốc</t>
        </is>
      </c>
      <c r="D320" s="3" t="n">
        <v>14.7</v>
      </c>
      <c r="E320" s="4">
        <f>IFERROR(VLOOKUP(B320,GiaCuoc!$A$2:$C$6,3,FALSE),"Kiểm tra mã dịch vụ")</f>
        <v/>
      </c>
      <c r="F320" s="2">
        <f>IF(E320="Kiểm tra mã dịch vụ","Cần kiểm tra","Đã tra cước")</f>
        <v/>
      </c>
      <c r="G320" s="5" t="n">
        <v>46302</v>
      </c>
    </row>
    <row r="321">
      <c r="A321" s="2" t="inlineStr">
        <is>
          <t>FM000320</t>
        </is>
      </c>
      <c r="B321" s="2" t="inlineStr">
        <is>
          <t>FM-TIETKIEM</t>
        </is>
      </c>
      <c r="C321" s="2" t="inlineStr">
        <is>
          <t>Tiết kiệm</t>
        </is>
      </c>
      <c r="D321" s="3" t="n">
        <v>16</v>
      </c>
      <c r="E321" s="4">
        <f>IFERROR(VLOOKUP(B321,GiaCuoc!$A$2:$C$6,3,FALSE),"Kiểm tra mã dịch vụ")</f>
        <v/>
      </c>
      <c r="F321" s="2">
        <f>IF(E321="Kiểm tra mã dịch vụ","Cần kiểm tra","Đã tra cước")</f>
        <v/>
      </c>
      <c r="G321" s="5" t="n">
        <v>46301</v>
      </c>
    </row>
    <row r="322">
      <c r="A322" s="2" t="inlineStr">
        <is>
          <t>FM000321</t>
        </is>
      </c>
      <c r="B322" s="2" t="inlineStr">
        <is>
          <t>FM-NOIBAI</t>
        </is>
      </c>
      <c r="C322" s="2" t="inlineStr">
        <is>
          <t>Nội thành</t>
        </is>
      </c>
      <c r="D322" s="3" t="n">
        <v>17.3</v>
      </c>
      <c r="E322" s="4">
        <f>IFERROR(VLOOKUP(B322,GiaCuoc!$A$2:$C$6,3,FALSE),"Kiểm tra mã dịch vụ")</f>
        <v/>
      </c>
      <c r="F322" s="2">
        <f>IF(E322="Kiểm tra mã dịch vụ","Cần kiểm tra","Đã tra cước")</f>
        <v/>
      </c>
      <c r="G322" s="5" t="n">
        <v>46300</v>
      </c>
    </row>
    <row r="323">
      <c r="A323" s="2" t="inlineStr">
        <is>
          <t>FM000322</t>
        </is>
      </c>
      <c r="B323" s="2" t="inlineStr">
        <is>
          <t>FM-NGOAITHANH</t>
        </is>
      </c>
      <c r="C323" s="2" t="inlineStr">
        <is>
          <t>Ngoại thành</t>
        </is>
      </c>
      <c r="D323" s="3" t="n">
        <v>18.6</v>
      </c>
      <c r="E323" s="4">
        <f>IFERROR(VLOOKUP(B323,GiaCuoc!$A$2:$C$6,3,FALSE),"Kiểm tra mã dịch vụ")</f>
        <v/>
      </c>
      <c r="F323" s="2">
        <f>IF(E323="Kiểm tra mã dịch vụ","Cần kiểm tra","Đã tra cước")</f>
        <v/>
      </c>
      <c r="G323" s="5" t="n">
        <v>46299</v>
      </c>
    </row>
    <row r="324">
      <c r="A324" s="2" t="inlineStr">
        <is>
          <t>FM000323</t>
        </is>
      </c>
      <c r="B324" s="2" t="inlineStr">
        <is>
          <t>FM-LIENMIEN</t>
        </is>
      </c>
      <c r="C324" s="2" t="inlineStr">
        <is>
          <t>Liên miền</t>
        </is>
      </c>
      <c r="D324" s="3" t="n">
        <v>19.9</v>
      </c>
      <c r="E324" s="4">
        <f>IFERROR(VLOOKUP(B324,GiaCuoc!$A$2:$C$6,3,FALSE),"Kiểm tra mã dịch vụ")</f>
        <v/>
      </c>
      <c r="F324" s="2">
        <f>IF(E324="Kiểm tra mã dịch vụ","Cần kiểm tra","Đã tra cước")</f>
        <v/>
      </c>
      <c r="G324" s="5" t="n">
        <v>46298</v>
      </c>
    </row>
    <row r="325">
      <c r="A325" s="2" t="inlineStr">
        <is>
          <t>FM000324</t>
        </is>
      </c>
      <c r="B325" s="2" t="inlineStr">
        <is>
          <t>FM-HOATOC</t>
        </is>
      </c>
      <c r="C325" s="2" t="inlineStr">
        <is>
          <t>Hỏa tốc</t>
        </is>
      </c>
      <c r="D325" s="3" t="n">
        <v>21.2</v>
      </c>
      <c r="E325" s="4">
        <f>IFERROR(VLOOKUP(B325,GiaCuoc!$A$2:$C$6,3,FALSE),"Kiểm tra mã dịch vụ")</f>
        <v/>
      </c>
      <c r="F325" s="2">
        <f>IF(E325="Kiểm tra mã dịch vụ","Cần kiểm tra","Đã tra cước")</f>
        <v/>
      </c>
      <c r="G325" s="5" t="n">
        <v>46297</v>
      </c>
    </row>
    <row r="326">
      <c r="A326" s="2" t="inlineStr">
        <is>
          <t>FM000325</t>
        </is>
      </c>
      <c r="B326" s="2" t="inlineStr">
        <is>
          <t>FM-TIETKIEM</t>
        </is>
      </c>
      <c r="C326" s="2" t="inlineStr">
        <is>
          <t>Tiết kiệm</t>
        </is>
      </c>
      <c r="D326" s="3" t="n">
        <v>22.5</v>
      </c>
      <c r="E326" s="4">
        <f>IFERROR(VLOOKUP(B326,GiaCuoc!$A$2:$C$6,3,FALSE),"Kiểm tra mã dịch vụ")</f>
        <v/>
      </c>
      <c r="F326" s="2">
        <f>IF(E326="Kiểm tra mã dịch vụ","Cần kiểm tra","Đã tra cước")</f>
        <v/>
      </c>
      <c r="G326" s="5" t="n">
        <v>46296</v>
      </c>
    </row>
    <row r="327">
      <c r="A327" s="2" t="inlineStr">
        <is>
          <t>FM000326</t>
        </is>
      </c>
      <c r="B327" s="2" t="inlineStr">
        <is>
          <t>FM-NOIBAI</t>
        </is>
      </c>
      <c r="C327" s="2" t="inlineStr">
        <is>
          <t>Nội thành</t>
        </is>
      </c>
      <c r="D327" s="3" t="n">
        <v>23.8</v>
      </c>
      <c r="E327" s="4">
        <f>IFERROR(VLOOKUP(B327,GiaCuoc!$A$2:$C$6,3,FALSE),"Kiểm tra mã dịch vụ")</f>
        <v/>
      </c>
      <c r="F327" s="2">
        <f>IF(E327="Kiểm tra mã dịch vụ","Cần kiểm tra","Đã tra cước")</f>
        <v/>
      </c>
      <c r="G327" s="5" t="n">
        <v>46295</v>
      </c>
    </row>
    <row r="328">
      <c r="A328" s="2" t="inlineStr">
        <is>
          <t>FM000327</t>
        </is>
      </c>
      <c r="B328" s="2" t="inlineStr">
        <is>
          <t>FM-NGOAITHANH</t>
        </is>
      </c>
      <c r="C328" s="2" t="inlineStr">
        <is>
          <t>Ngoại thành</t>
        </is>
      </c>
      <c r="D328" s="3" t="n">
        <v>0.1</v>
      </c>
      <c r="E328" s="4">
        <f>IFERROR(VLOOKUP(B328,GiaCuoc!$A$2:$C$6,3,FALSE),"Kiểm tra mã dịch vụ")</f>
        <v/>
      </c>
      <c r="F328" s="2">
        <f>IF(E328="Kiểm tra mã dịch vụ","Cần kiểm tra","Đã tra cước")</f>
        <v/>
      </c>
      <c r="G328" s="5" t="n">
        <v>46294</v>
      </c>
    </row>
    <row r="329">
      <c r="A329" s="2" t="inlineStr">
        <is>
          <t>FM000328</t>
        </is>
      </c>
      <c r="B329" s="2" t="inlineStr">
        <is>
          <t>FM-LIENMIEN</t>
        </is>
      </c>
      <c r="C329" s="2" t="inlineStr">
        <is>
          <t>Liên miền</t>
        </is>
      </c>
      <c r="D329" s="3" t="n">
        <v>1.4</v>
      </c>
      <c r="E329" s="4">
        <f>IFERROR(VLOOKUP(B329,GiaCuoc!$A$2:$C$6,3,FALSE),"Kiểm tra mã dịch vụ")</f>
        <v/>
      </c>
      <c r="F329" s="2">
        <f>IF(E329="Kiểm tra mã dịch vụ","Cần kiểm tra","Đã tra cước")</f>
        <v/>
      </c>
      <c r="G329" s="5" t="n">
        <v>46293</v>
      </c>
    </row>
    <row r="330">
      <c r="A330" s="2" t="inlineStr">
        <is>
          <t>FM000329</t>
        </is>
      </c>
      <c r="B330" s="2" t="inlineStr">
        <is>
          <t>FM-HOATOC</t>
        </is>
      </c>
      <c r="C330" s="2" t="inlineStr">
        <is>
          <t>Hỏa tốc</t>
        </is>
      </c>
      <c r="D330" s="3" t="n">
        <v>2.7</v>
      </c>
      <c r="E330" s="4">
        <f>IFERROR(VLOOKUP(B330,GiaCuoc!$A$2:$C$6,3,FALSE),"Kiểm tra mã dịch vụ")</f>
        <v/>
      </c>
      <c r="F330" s="2">
        <f>IF(E330="Kiểm tra mã dịch vụ","Cần kiểm tra","Đã tra cước")</f>
        <v/>
      </c>
      <c r="G330" s="5" t="n">
        <v>46292</v>
      </c>
    </row>
    <row r="331">
      <c r="A331" s="2" t="inlineStr">
        <is>
          <t>FM000330</t>
        </is>
      </c>
      <c r="B331" s="2" t="inlineStr">
        <is>
          <t>FM-TIETKIEM</t>
        </is>
      </c>
      <c r="C331" s="2" t="inlineStr">
        <is>
          <t>Tiết kiệm</t>
        </is>
      </c>
      <c r="D331" s="3" t="n">
        <v>4</v>
      </c>
      <c r="E331" s="4">
        <f>IFERROR(VLOOKUP(B331,GiaCuoc!$A$2:$C$6,3,FALSE),"Kiểm tra mã dịch vụ")</f>
        <v/>
      </c>
      <c r="F331" s="2">
        <f>IF(E331="Kiểm tra mã dịch vụ","Cần kiểm tra","Đã tra cước")</f>
        <v/>
      </c>
      <c r="G331" s="5" t="n">
        <v>46321</v>
      </c>
    </row>
    <row r="332">
      <c r="A332" s="2" t="inlineStr">
        <is>
          <t>FM000331</t>
        </is>
      </c>
      <c r="B332" s="2" t="inlineStr">
        <is>
          <t>FM-NOIBAI</t>
        </is>
      </c>
      <c r="C332" s="2" t="inlineStr">
        <is>
          <t>Nội thành</t>
        </is>
      </c>
      <c r="D332" s="3" t="n">
        <v>5.3</v>
      </c>
      <c r="E332" s="4">
        <f>IFERROR(VLOOKUP(B332,GiaCuoc!$A$2:$C$6,3,FALSE),"Kiểm tra mã dịch vụ")</f>
        <v/>
      </c>
      <c r="F332" s="2">
        <f>IF(E332="Kiểm tra mã dịch vụ","Cần kiểm tra","Đã tra cước")</f>
        <v/>
      </c>
      <c r="G332" s="5" t="n">
        <v>46320</v>
      </c>
    </row>
    <row r="333">
      <c r="A333" s="2" t="inlineStr">
        <is>
          <t>FM000332</t>
        </is>
      </c>
      <c r="B333" s="2" t="inlineStr">
        <is>
          <t>FM-NGOAITHANH</t>
        </is>
      </c>
      <c r="C333" s="2" t="inlineStr">
        <is>
          <t>Ngoại thành</t>
        </is>
      </c>
      <c r="D333" s="3" t="n">
        <v>6.6</v>
      </c>
      <c r="E333" s="4">
        <f>IFERROR(VLOOKUP(B333,GiaCuoc!$A$2:$C$6,3,FALSE),"Kiểm tra mã dịch vụ")</f>
        <v/>
      </c>
      <c r="F333" s="2">
        <f>IF(E333="Kiểm tra mã dịch vụ","Cần kiểm tra","Đã tra cước")</f>
        <v/>
      </c>
      <c r="G333" s="5" t="n">
        <v>46319</v>
      </c>
    </row>
    <row r="334">
      <c r="A334" s="2" t="inlineStr">
        <is>
          <t>FM000333</t>
        </is>
      </c>
      <c r="B334" s="2" t="inlineStr">
        <is>
          <t>FM-LIENMIEN</t>
        </is>
      </c>
      <c r="C334" s="2" t="inlineStr">
        <is>
          <t>Liên miền</t>
        </is>
      </c>
      <c r="D334" s="3" t="n">
        <v>7.9</v>
      </c>
      <c r="E334" s="4">
        <f>IFERROR(VLOOKUP(B334,GiaCuoc!$A$2:$C$6,3,FALSE),"Kiểm tra mã dịch vụ")</f>
        <v/>
      </c>
      <c r="F334" s="2">
        <f>IF(E334="Kiểm tra mã dịch vụ","Cần kiểm tra","Đã tra cước")</f>
        <v/>
      </c>
      <c r="G334" s="5" t="n">
        <v>46318</v>
      </c>
    </row>
    <row r="335">
      <c r="A335" s="2" t="inlineStr">
        <is>
          <t>FM000334</t>
        </is>
      </c>
      <c r="B335" s="2" t="inlineStr">
        <is>
          <t>FM-HOATOC</t>
        </is>
      </c>
      <c r="C335" s="2" t="inlineStr">
        <is>
          <t>Hỏa tốc</t>
        </is>
      </c>
      <c r="D335" s="3" t="n">
        <v>9.199999999999999</v>
      </c>
      <c r="E335" s="4">
        <f>IFERROR(VLOOKUP(B335,GiaCuoc!$A$2:$C$6,3,FALSE),"Kiểm tra mã dịch vụ")</f>
        <v/>
      </c>
      <c r="F335" s="2">
        <f>IF(E335="Kiểm tra mã dịch vụ","Cần kiểm tra","Đã tra cước")</f>
        <v/>
      </c>
      <c r="G335" s="5" t="n">
        <v>46317</v>
      </c>
    </row>
    <row r="336">
      <c r="A336" s="2" t="inlineStr">
        <is>
          <t>FM000335</t>
        </is>
      </c>
      <c r="B336" s="2" t="inlineStr">
        <is>
          <t>FM-TIETKIEM</t>
        </is>
      </c>
      <c r="C336" s="2" t="inlineStr">
        <is>
          <t>Tiết kiệm</t>
        </is>
      </c>
      <c r="D336" s="3" t="n">
        <v>10.5</v>
      </c>
      <c r="E336" s="4">
        <f>IFERROR(VLOOKUP(B336,GiaCuoc!$A$2:$C$6,3,FALSE),"Kiểm tra mã dịch vụ")</f>
        <v/>
      </c>
      <c r="F336" s="2">
        <f>IF(E336="Kiểm tra mã dịch vụ","Cần kiểm tra","Đã tra cước")</f>
        <v/>
      </c>
      <c r="G336" s="5" t="n">
        <v>46316</v>
      </c>
    </row>
    <row r="337">
      <c r="A337" s="2" t="inlineStr">
        <is>
          <t>FM000336</t>
        </is>
      </c>
      <c r="B337" s="2" t="inlineStr">
        <is>
          <t>FM-NOIBAI</t>
        </is>
      </c>
      <c r="C337" s="2" t="inlineStr">
        <is>
          <t>Nội thành</t>
        </is>
      </c>
      <c r="D337" s="3" t="n">
        <v>11.8</v>
      </c>
      <c r="E337" s="4">
        <f>IFERROR(VLOOKUP(B337,GiaCuoc!$A$2:$C$6,3,FALSE),"Kiểm tra mã dịch vụ")</f>
        <v/>
      </c>
      <c r="F337" s="2">
        <f>IF(E337="Kiểm tra mã dịch vụ","Cần kiểm tra","Đã tra cước")</f>
        <v/>
      </c>
      <c r="G337" s="5" t="n">
        <v>46315</v>
      </c>
    </row>
    <row r="338">
      <c r="A338" s="2" t="inlineStr">
        <is>
          <t>FM000337</t>
        </is>
      </c>
      <c r="B338" s="2" t="inlineStr">
        <is>
          <t>FM-NGOAITHANH</t>
        </is>
      </c>
      <c r="C338" s="2" t="inlineStr">
        <is>
          <t>Ngoại thành</t>
        </is>
      </c>
      <c r="D338" s="3" t="n">
        <v>13.1</v>
      </c>
      <c r="E338" s="4">
        <f>IFERROR(VLOOKUP(B338,GiaCuoc!$A$2:$C$6,3,FALSE),"Kiểm tra mã dịch vụ")</f>
        <v/>
      </c>
      <c r="F338" s="2">
        <f>IF(E338="Kiểm tra mã dịch vụ","Cần kiểm tra","Đã tra cước")</f>
        <v/>
      </c>
      <c r="G338" s="5" t="n">
        <v>46314</v>
      </c>
    </row>
    <row r="339">
      <c r="A339" s="2" t="inlineStr">
        <is>
          <t>FM000338</t>
        </is>
      </c>
      <c r="B339" s="2" t="inlineStr">
        <is>
          <t>FM-LIENMIEN</t>
        </is>
      </c>
      <c r="C339" s="2" t="inlineStr">
        <is>
          <t>Liên miền</t>
        </is>
      </c>
      <c r="D339" s="3" t="n">
        <v>14.4</v>
      </c>
      <c r="E339" s="4">
        <f>IFERROR(VLOOKUP(B339,GiaCuoc!$A$2:$C$6,3,FALSE),"Kiểm tra mã dịch vụ")</f>
        <v/>
      </c>
      <c r="F339" s="2">
        <f>IF(E339="Kiểm tra mã dịch vụ","Cần kiểm tra","Đã tra cước")</f>
        <v/>
      </c>
      <c r="G339" s="5" t="n">
        <v>46313</v>
      </c>
    </row>
    <row r="340">
      <c r="A340" s="2" t="inlineStr">
        <is>
          <t>FM000339</t>
        </is>
      </c>
      <c r="B340" s="2" t="inlineStr">
        <is>
          <t>FM-HOATOC</t>
        </is>
      </c>
      <c r="C340" s="2" t="inlineStr">
        <is>
          <t>Hỏa tốc</t>
        </is>
      </c>
      <c r="D340" s="3" t="n">
        <v>15.7</v>
      </c>
      <c r="E340" s="4">
        <f>IFERROR(VLOOKUP(B340,GiaCuoc!$A$2:$C$6,3,FALSE),"Kiểm tra mã dịch vụ")</f>
        <v/>
      </c>
      <c r="F340" s="2">
        <f>IF(E340="Kiểm tra mã dịch vụ","Cần kiểm tra","Đã tra cước")</f>
        <v/>
      </c>
      <c r="G340" s="5" t="n">
        <v>46312</v>
      </c>
    </row>
    <row r="341">
      <c r="A341" s="2" t="inlineStr">
        <is>
          <t>FM000340</t>
        </is>
      </c>
      <c r="B341" s="2" t="inlineStr">
        <is>
          <t>FM-TIETKIEM</t>
        </is>
      </c>
      <c r="C341" s="2" t="inlineStr">
        <is>
          <t>Tiết kiệm</t>
        </is>
      </c>
      <c r="D341" s="3" t="n">
        <v>17</v>
      </c>
      <c r="E341" s="4">
        <f>IFERROR(VLOOKUP(B341,GiaCuoc!$A$2:$C$6,3,FALSE),"Kiểm tra mã dịch vụ")</f>
        <v/>
      </c>
      <c r="F341" s="2">
        <f>IF(E341="Kiểm tra mã dịch vụ","Cần kiểm tra","Đã tra cước")</f>
        <v/>
      </c>
      <c r="G341" s="5" t="n">
        <v>46311</v>
      </c>
    </row>
    <row r="342">
      <c r="A342" s="2" t="inlineStr">
        <is>
          <t>FM000341</t>
        </is>
      </c>
      <c r="B342" s="2" t="inlineStr">
        <is>
          <t>FM-NOIBAI</t>
        </is>
      </c>
      <c r="C342" s="2" t="inlineStr">
        <is>
          <t>Nội thành</t>
        </is>
      </c>
      <c r="D342" s="3" t="n">
        <v>18.3</v>
      </c>
      <c r="E342" s="4">
        <f>IFERROR(VLOOKUP(B342,GiaCuoc!$A$2:$C$6,3,FALSE),"Kiểm tra mã dịch vụ")</f>
        <v/>
      </c>
      <c r="F342" s="2">
        <f>IF(E342="Kiểm tra mã dịch vụ","Cần kiểm tra","Đã tra cước")</f>
        <v/>
      </c>
      <c r="G342" s="5" t="n">
        <v>46310</v>
      </c>
    </row>
    <row r="343">
      <c r="A343" s="2" t="inlineStr">
        <is>
          <t>FM000342</t>
        </is>
      </c>
      <c r="B343" s="2" t="inlineStr">
        <is>
          <t>FM-NGOAITHANH</t>
        </is>
      </c>
      <c r="C343" s="2" t="inlineStr">
        <is>
          <t>Ngoại thành</t>
        </is>
      </c>
      <c r="D343" s="3" t="n">
        <v>19.6</v>
      </c>
      <c r="E343" s="4">
        <f>IFERROR(VLOOKUP(B343,GiaCuoc!$A$2:$C$6,3,FALSE),"Kiểm tra mã dịch vụ")</f>
        <v/>
      </c>
      <c r="F343" s="2">
        <f>IF(E343="Kiểm tra mã dịch vụ","Cần kiểm tra","Đã tra cước")</f>
        <v/>
      </c>
      <c r="G343" s="5" t="n">
        <v>46309</v>
      </c>
    </row>
    <row r="344">
      <c r="A344" s="2" t="inlineStr">
        <is>
          <t>FM000343</t>
        </is>
      </c>
      <c r="B344" s="2" t="inlineStr">
        <is>
          <t>FM-LIENMIEN</t>
        </is>
      </c>
      <c r="C344" s="2" t="inlineStr">
        <is>
          <t>Liên miền</t>
        </is>
      </c>
      <c r="D344" s="3" t="n">
        <v>20.9</v>
      </c>
      <c r="E344" s="4">
        <f>IFERROR(VLOOKUP(B344,GiaCuoc!$A$2:$C$6,3,FALSE),"Kiểm tra mã dịch vụ")</f>
        <v/>
      </c>
      <c r="F344" s="2">
        <f>IF(E344="Kiểm tra mã dịch vụ","Cần kiểm tra","Đã tra cước")</f>
        <v/>
      </c>
      <c r="G344" s="5" t="n">
        <v>46308</v>
      </c>
    </row>
    <row r="345">
      <c r="A345" s="2" t="inlineStr">
        <is>
          <t>FM000344</t>
        </is>
      </c>
      <c r="B345" s="2" t="inlineStr">
        <is>
          <t>FM-HOATOC</t>
        </is>
      </c>
      <c r="C345" s="2" t="inlineStr">
        <is>
          <t>Hỏa tốc</t>
        </is>
      </c>
      <c r="D345" s="3" t="n">
        <v>22.2</v>
      </c>
      <c r="E345" s="4">
        <f>IFERROR(VLOOKUP(B345,GiaCuoc!$A$2:$C$6,3,FALSE),"Kiểm tra mã dịch vụ")</f>
        <v/>
      </c>
      <c r="F345" s="2">
        <f>IF(E345="Kiểm tra mã dịch vụ","Cần kiểm tra","Đã tra cước")</f>
        <v/>
      </c>
      <c r="G345" s="5" t="n">
        <v>46307</v>
      </c>
    </row>
    <row r="346">
      <c r="A346" s="2" t="inlineStr">
        <is>
          <t>FM000345</t>
        </is>
      </c>
      <c r="B346" s="2" t="inlineStr">
        <is>
          <t>FM-TIETKIEM</t>
        </is>
      </c>
      <c r="C346" s="2" t="inlineStr">
        <is>
          <t>Tiết kiệm</t>
        </is>
      </c>
      <c r="D346" s="3" t="n">
        <v>23.5</v>
      </c>
      <c r="E346" s="4">
        <f>IFERROR(VLOOKUP(B346,GiaCuoc!$A$2:$C$6,3,FALSE),"Kiểm tra mã dịch vụ")</f>
        <v/>
      </c>
      <c r="F346" s="2">
        <f>IF(E346="Kiểm tra mã dịch vụ","Cần kiểm tra","Đã tra cước")</f>
        <v/>
      </c>
      <c r="G346" s="5" t="n">
        <v>46306</v>
      </c>
    </row>
    <row r="347">
      <c r="A347" s="2" t="inlineStr">
        <is>
          <t>FM000346</t>
        </is>
      </c>
      <c r="B347" s="2" t="inlineStr">
        <is>
          <t>FM-NOIBAI</t>
        </is>
      </c>
      <c r="C347" s="2" t="inlineStr">
        <is>
          <t>Nội thành</t>
        </is>
      </c>
      <c r="D347" s="3" t="n">
        <v>24.8</v>
      </c>
      <c r="E347" s="4">
        <f>IFERROR(VLOOKUP(B347,GiaCuoc!$A$2:$C$6,3,FALSE),"Kiểm tra mã dịch vụ")</f>
        <v/>
      </c>
      <c r="F347" s="2">
        <f>IF(E347="Kiểm tra mã dịch vụ","Cần kiểm tra","Đã tra cước")</f>
        <v/>
      </c>
      <c r="G347" s="5" t="n">
        <v>46305</v>
      </c>
    </row>
    <row r="348">
      <c r="A348" s="2" t="inlineStr">
        <is>
          <t>FM000347</t>
        </is>
      </c>
      <c r="B348" s="2" t="inlineStr">
        <is>
          <t>FM-NGOAITHANH</t>
        </is>
      </c>
      <c r="C348" s="2" t="inlineStr">
        <is>
          <t>Ngoại thành</t>
        </is>
      </c>
      <c r="D348" s="3" t="n">
        <v>1.1</v>
      </c>
      <c r="E348" s="4">
        <f>IFERROR(VLOOKUP(B348,GiaCuoc!$A$2:$C$6,3,FALSE),"Kiểm tra mã dịch vụ")</f>
        <v/>
      </c>
      <c r="F348" s="2">
        <f>IF(E348="Kiểm tra mã dịch vụ","Cần kiểm tra","Đã tra cước")</f>
        <v/>
      </c>
      <c r="G348" s="5" t="n">
        <v>46304</v>
      </c>
    </row>
    <row r="349">
      <c r="A349" s="2" t="inlineStr">
        <is>
          <t>FM000348</t>
        </is>
      </c>
      <c r="B349" s="2" t="inlineStr">
        <is>
          <t>FM-LIENMIEN</t>
        </is>
      </c>
      <c r="C349" s="2" t="inlineStr">
        <is>
          <t>Liên miền</t>
        </is>
      </c>
      <c r="D349" s="3" t="n">
        <v>2.4</v>
      </c>
      <c r="E349" s="4">
        <f>IFERROR(VLOOKUP(B349,GiaCuoc!$A$2:$C$6,3,FALSE),"Kiểm tra mã dịch vụ")</f>
        <v/>
      </c>
      <c r="F349" s="2">
        <f>IF(E349="Kiểm tra mã dịch vụ","Cần kiểm tra","Đã tra cước")</f>
        <v/>
      </c>
      <c r="G349" s="5" t="n">
        <v>46303</v>
      </c>
    </row>
    <row r="350">
      <c r="A350" s="2" t="inlineStr">
        <is>
          <t>FM000349</t>
        </is>
      </c>
      <c r="B350" s="2" t="inlineStr">
        <is>
          <t>FM-HOATOC</t>
        </is>
      </c>
      <c r="C350" s="2" t="inlineStr">
        <is>
          <t>Hỏa tốc</t>
        </is>
      </c>
      <c r="D350" s="3" t="n">
        <v>3.7</v>
      </c>
      <c r="E350" s="4">
        <f>IFERROR(VLOOKUP(B350,GiaCuoc!$A$2:$C$6,3,FALSE),"Kiểm tra mã dịch vụ")</f>
        <v/>
      </c>
      <c r="F350" s="2">
        <f>IF(E350="Kiểm tra mã dịch vụ","Cần kiểm tra","Đã tra cước")</f>
        <v/>
      </c>
      <c r="G350" s="5" t="n">
        <v>46302</v>
      </c>
    </row>
    <row r="351">
      <c r="A351" s="2" t="inlineStr">
        <is>
          <t>FM000350</t>
        </is>
      </c>
      <c r="B351" s="2" t="inlineStr">
        <is>
          <t>FM-TIETKIEM</t>
        </is>
      </c>
      <c r="C351" s="2" t="inlineStr">
        <is>
          <t>Tiết kiệm</t>
        </is>
      </c>
      <c r="D351" s="3" t="n">
        <v>5</v>
      </c>
      <c r="E351" s="4">
        <f>IFERROR(VLOOKUP(B351,GiaCuoc!$A$2:$C$6,3,FALSE),"Kiểm tra mã dịch vụ")</f>
        <v/>
      </c>
      <c r="F351" s="2">
        <f>IF(E351="Kiểm tra mã dịch vụ","Cần kiểm tra","Đã tra cước")</f>
        <v/>
      </c>
      <c r="G351" s="5" t="n">
        <v>46301</v>
      </c>
    </row>
    <row r="352">
      <c r="A352" s="2" t="inlineStr">
        <is>
          <t>FM000351</t>
        </is>
      </c>
      <c r="B352" s="2" t="inlineStr">
        <is>
          <t>FM-NOIBAI</t>
        </is>
      </c>
      <c r="C352" s="2" t="inlineStr">
        <is>
          <t>Nội thành</t>
        </is>
      </c>
      <c r="D352" s="3" t="n">
        <v>6.3</v>
      </c>
      <c r="E352" s="4">
        <f>IFERROR(VLOOKUP(B352,GiaCuoc!$A$2:$C$6,3,FALSE),"Kiểm tra mã dịch vụ")</f>
        <v/>
      </c>
      <c r="F352" s="2">
        <f>IF(E352="Kiểm tra mã dịch vụ","Cần kiểm tra","Đã tra cước")</f>
        <v/>
      </c>
      <c r="G352" s="5" t="n">
        <v>46300</v>
      </c>
    </row>
    <row r="353">
      <c r="A353" s="2" t="inlineStr">
        <is>
          <t>FM000352</t>
        </is>
      </c>
      <c r="B353" s="2" t="inlineStr">
        <is>
          <t>FM-NGOAITHANH</t>
        </is>
      </c>
      <c r="C353" s="2" t="inlineStr">
        <is>
          <t>Ngoại thành</t>
        </is>
      </c>
      <c r="D353" s="3" t="n">
        <v>7.6</v>
      </c>
      <c r="E353" s="4">
        <f>IFERROR(VLOOKUP(B353,GiaCuoc!$A$2:$C$6,3,FALSE),"Kiểm tra mã dịch vụ")</f>
        <v/>
      </c>
      <c r="F353" s="2">
        <f>IF(E353="Kiểm tra mã dịch vụ","Cần kiểm tra","Đã tra cước")</f>
        <v/>
      </c>
      <c r="G353" s="5" t="n">
        <v>46299</v>
      </c>
    </row>
    <row r="354">
      <c r="A354" s="2" t="inlineStr">
        <is>
          <t>FM000353</t>
        </is>
      </c>
      <c r="B354" s="2" t="inlineStr">
        <is>
          <t>FM-LIENMIEN</t>
        </is>
      </c>
      <c r="C354" s="2" t="inlineStr">
        <is>
          <t>Liên miền</t>
        </is>
      </c>
      <c r="D354" s="3" t="n">
        <v>8.9</v>
      </c>
      <c r="E354" s="4">
        <f>IFERROR(VLOOKUP(B354,GiaCuoc!$A$2:$C$6,3,FALSE),"Kiểm tra mã dịch vụ")</f>
        <v/>
      </c>
      <c r="F354" s="2">
        <f>IF(E354="Kiểm tra mã dịch vụ","Cần kiểm tra","Đã tra cước")</f>
        <v/>
      </c>
      <c r="G354" s="5" t="n">
        <v>46298</v>
      </c>
    </row>
    <row r="355">
      <c r="A355" s="2" t="inlineStr">
        <is>
          <t>FM000354</t>
        </is>
      </c>
      <c r="B355" s="2" t="inlineStr">
        <is>
          <t>FM-HOATOC</t>
        </is>
      </c>
      <c r="C355" s="2" t="inlineStr">
        <is>
          <t>Hỏa tốc</t>
        </is>
      </c>
      <c r="D355" s="3" t="n">
        <v>10.2</v>
      </c>
      <c r="E355" s="4">
        <f>IFERROR(VLOOKUP(B355,GiaCuoc!$A$2:$C$6,3,FALSE),"Kiểm tra mã dịch vụ")</f>
        <v/>
      </c>
      <c r="F355" s="2">
        <f>IF(E355="Kiểm tra mã dịch vụ","Cần kiểm tra","Đã tra cước")</f>
        <v/>
      </c>
      <c r="G355" s="5" t="n">
        <v>46297</v>
      </c>
    </row>
    <row r="356">
      <c r="A356" s="2" t="inlineStr">
        <is>
          <t>FM000355</t>
        </is>
      </c>
      <c r="B356" s="2" t="inlineStr">
        <is>
          <t>FM-TIETKIEM</t>
        </is>
      </c>
      <c r="C356" s="2" t="inlineStr">
        <is>
          <t>Tiết kiệm</t>
        </is>
      </c>
      <c r="D356" s="3" t="n">
        <v>11.5</v>
      </c>
      <c r="E356" s="4">
        <f>IFERROR(VLOOKUP(B356,GiaCuoc!$A$2:$C$6,3,FALSE),"Kiểm tra mã dịch vụ")</f>
        <v/>
      </c>
      <c r="F356" s="2">
        <f>IF(E356="Kiểm tra mã dịch vụ","Cần kiểm tra","Đã tra cước")</f>
        <v/>
      </c>
      <c r="G356" s="5" t="n">
        <v>46296</v>
      </c>
    </row>
    <row r="357">
      <c r="A357" s="2" t="inlineStr">
        <is>
          <t>FM000356</t>
        </is>
      </c>
      <c r="B357" s="2" t="inlineStr">
        <is>
          <t>FM-NOIBAI</t>
        </is>
      </c>
      <c r="C357" s="2" t="inlineStr">
        <is>
          <t>Nội thành</t>
        </is>
      </c>
      <c r="D357" s="3" t="n">
        <v>12.8</v>
      </c>
      <c r="E357" s="4">
        <f>IFERROR(VLOOKUP(B357,GiaCuoc!$A$2:$C$6,3,FALSE),"Kiểm tra mã dịch vụ")</f>
        <v/>
      </c>
      <c r="F357" s="2">
        <f>IF(E357="Kiểm tra mã dịch vụ","Cần kiểm tra","Đã tra cước")</f>
        <v/>
      </c>
      <c r="G357" s="5" t="n">
        <v>46295</v>
      </c>
    </row>
    <row r="358">
      <c r="A358" s="2" t="inlineStr">
        <is>
          <t>FM000357</t>
        </is>
      </c>
      <c r="B358" s="2" t="inlineStr">
        <is>
          <t>FM-NGOAITHANH</t>
        </is>
      </c>
      <c r="C358" s="2" t="inlineStr">
        <is>
          <t>Ngoại thành</t>
        </is>
      </c>
      <c r="D358" s="3" t="n">
        <v>14.1</v>
      </c>
      <c r="E358" s="4">
        <f>IFERROR(VLOOKUP(B358,GiaCuoc!$A$2:$C$6,3,FALSE),"Kiểm tra mã dịch vụ")</f>
        <v/>
      </c>
      <c r="F358" s="2">
        <f>IF(E358="Kiểm tra mã dịch vụ","Cần kiểm tra","Đã tra cước")</f>
        <v/>
      </c>
      <c r="G358" s="5" t="n">
        <v>46294</v>
      </c>
    </row>
    <row r="359">
      <c r="A359" s="2" t="inlineStr">
        <is>
          <t>FM000358</t>
        </is>
      </c>
      <c r="B359" s="2" t="inlineStr">
        <is>
          <t>FM-LIENMIEN</t>
        </is>
      </c>
      <c r="C359" s="2" t="inlineStr">
        <is>
          <t>Liên miền</t>
        </is>
      </c>
      <c r="D359" s="3" t="n">
        <v>15.4</v>
      </c>
      <c r="E359" s="4">
        <f>IFERROR(VLOOKUP(B359,GiaCuoc!$A$2:$C$6,3,FALSE),"Kiểm tra mã dịch vụ")</f>
        <v/>
      </c>
      <c r="F359" s="2">
        <f>IF(E359="Kiểm tra mã dịch vụ","Cần kiểm tra","Đã tra cước")</f>
        <v/>
      </c>
      <c r="G359" s="5" t="n">
        <v>46293</v>
      </c>
    </row>
    <row r="360">
      <c r="A360" s="2" t="inlineStr">
        <is>
          <t>FM000359</t>
        </is>
      </c>
      <c r="B360" s="2" t="inlineStr">
        <is>
          <t>FM-HOATOC</t>
        </is>
      </c>
      <c r="C360" s="2" t="inlineStr">
        <is>
          <t>Hỏa tốc</t>
        </is>
      </c>
      <c r="D360" s="3" t="n">
        <v>16.7</v>
      </c>
      <c r="E360" s="4">
        <f>IFERROR(VLOOKUP(B360,GiaCuoc!$A$2:$C$6,3,FALSE),"Kiểm tra mã dịch vụ")</f>
        <v/>
      </c>
      <c r="F360" s="2">
        <f>IF(E360="Kiểm tra mã dịch vụ","Cần kiểm tra","Đã tra cước")</f>
        <v/>
      </c>
      <c r="G360" s="5" t="n">
        <v>46292</v>
      </c>
    </row>
    <row r="361">
      <c r="A361" s="2" t="inlineStr">
        <is>
          <t>FM000360</t>
        </is>
      </c>
      <c r="B361" s="2" t="inlineStr">
        <is>
          <t>FM-TIETKIEM</t>
        </is>
      </c>
      <c r="C361" s="2" t="inlineStr">
        <is>
          <t>Tiết kiệm</t>
        </is>
      </c>
      <c r="D361" s="3" t="n">
        <v>18</v>
      </c>
      <c r="E361" s="4">
        <f>IFERROR(VLOOKUP(B361,GiaCuoc!$A$2:$C$6,3,FALSE),"Kiểm tra mã dịch vụ")</f>
        <v/>
      </c>
      <c r="F361" s="2">
        <f>IF(E361="Kiểm tra mã dịch vụ","Cần kiểm tra","Đã tra cước")</f>
        <v/>
      </c>
      <c r="G361" s="5" t="n">
        <v>46321</v>
      </c>
    </row>
    <row r="362">
      <c r="A362" s="2" t="inlineStr">
        <is>
          <t>FM000361</t>
        </is>
      </c>
      <c r="B362" s="2" t="inlineStr">
        <is>
          <t>FM-NOIBAI</t>
        </is>
      </c>
      <c r="C362" s="2" t="inlineStr">
        <is>
          <t>Nội thành</t>
        </is>
      </c>
      <c r="D362" s="3" t="n">
        <v>19.3</v>
      </c>
      <c r="E362" s="4">
        <f>IFERROR(VLOOKUP(B362,GiaCuoc!$A$2:$C$6,3,FALSE),"Kiểm tra mã dịch vụ")</f>
        <v/>
      </c>
      <c r="F362" s="2">
        <f>IF(E362="Kiểm tra mã dịch vụ","Cần kiểm tra","Đã tra cước")</f>
        <v/>
      </c>
      <c r="G362" s="5" t="n">
        <v>46320</v>
      </c>
    </row>
    <row r="363">
      <c r="A363" s="2" t="inlineStr">
        <is>
          <t>FM000362</t>
        </is>
      </c>
      <c r="B363" s="2" t="inlineStr">
        <is>
          <t>FM-NGOAITHANH</t>
        </is>
      </c>
      <c r="C363" s="2" t="inlineStr">
        <is>
          <t>Ngoại thành</t>
        </is>
      </c>
      <c r="D363" s="3" t="n">
        <v>20.6</v>
      </c>
      <c r="E363" s="4">
        <f>IFERROR(VLOOKUP(B363,GiaCuoc!$A$2:$C$6,3,FALSE),"Kiểm tra mã dịch vụ")</f>
        <v/>
      </c>
      <c r="F363" s="2">
        <f>IF(E363="Kiểm tra mã dịch vụ","Cần kiểm tra","Đã tra cước")</f>
        <v/>
      </c>
      <c r="G363" s="5" t="n">
        <v>46319</v>
      </c>
    </row>
    <row r="364">
      <c r="A364" s="2" t="inlineStr">
        <is>
          <t>FM000363</t>
        </is>
      </c>
      <c r="B364" s="2" t="inlineStr">
        <is>
          <t>FM-LIENMIEN</t>
        </is>
      </c>
      <c r="C364" s="2" t="inlineStr">
        <is>
          <t>Liên miền</t>
        </is>
      </c>
      <c r="D364" s="3" t="n">
        <v>21.9</v>
      </c>
      <c r="E364" s="4">
        <f>IFERROR(VLOOKUP(B364,GiaCuoc!$A$2:$C$6,3,FALSE),"Kiểm tra mã dịch vụ")</f>
        <v/>
      </c>
      <c r="F364" s="2">
        <f>IF(E364="Kiểm tra mã dịch vụ","Cần kiểm tra","Đã tra cước")</f>
        <v/>
      </c>
      <c r="G364" s="5" t="n">
        <v>46318</v>
      </c>
    </row>
    <row r="365">
      <c r="A365" s="2" t="inlineStr">
        <is>
          <t>FM000364</t>
        </is>
      </c>
      <c r="B365" s="2" t="inlineStr">
        <is>
          <t>FM-HOATOC</t>
        </is>
      </c>
      <c r="C365" s="2" t="inlineStr">
        <is>
          <t>Hỏa tốc</t>
        </is>
      </c>
      <c r="D365" s="3" t="n">
        <v>23.2</v>
      </c>
      <c r="E365" s="4">
        <f>IFERROR(VLOOKUP(B365,GiaCuoc!$A$2:$C$6,3,FALSE),"Kiểm tra mã dịch vụ")</f>
        <v/>
      </c>
      <c r="F365" s="2">
        <f>IF(E365="Kiểm tra mã dịch vụ","Cần kiểm tra","Đã tra cước")</f>
        <v/>
      </c>
      <c r="G365" s="5" t="n">
        <v>46317</v>
      </c>
    </row>
    <row r="366">
      <c r="A366" s="2" t="inlineStr">
        <is>
          <t>FM000365</t>
        </is>
      </c>
      <c r="B366" s="2" t="inlineStr">
        <is>
          <t>FM-TIETKIEM</t>
        </is>
      </c>
      <c r="C366" s="2" t="inlineStr">
        <is>
          <t>Tiết kiệm</t>
        </is>
      </c>
      <c r="D366" s="3" t="n">
        <v>24.5</v>
      </c>
      <c r="E366" s="4">
        <f>IFERROR(VLOOKUP(B366,GiaCuoc!$A$2:$C$6,3,FALSE),"Kiểm tra mã dịch vụ")</f>
        <v/>
      </c>
      <c r="F366" s="2">
        <f>IF(E366="Kiểm tra mã dịch vụ","Cần kiểm tra","Đã tra cước")</f>
        <v/>
      </c>
      <c r="G366" s="5" t="n">
        <v>46316</v>
      </c>
    </row>
    <row r="367">
      <c r="A367" s="2" t="inlineStr">
        <is>
          <t>FM000366</t>
        </is>
      </c>
      <c r="B367" s="2" t="inlineStr">
        <is>
          <t>FM-NOIBAI</t>
        </is>
      </c>
      <c r="C367" s="2" t="inlineStr">
        <is>
          <t>Nội thành</t>
        </is>
      </c>
      <c r="D367" s="3" t="n">
        <v>0.8</v>
      </c>
      <c r="E367" s="4">
        <f>IFERROR(VLOOKUP(B367,GiaCuoc!$A$2:$C$6,3,FALSE),"Kiểm tra mã dịch vụ")</f>
        <v/>
      </c>
      <c r="F367" s="2">
        <f>IF(E367="Kiểm tra mã dịch vụ","Cần kiểm tra","Đã tra cước")</f>
        <v/>
      </c>
      <c r="G367" s="5" t="n">
        <v>46315</v>
      </c>
    </row>
    <row r="368">
      <c r="A368" s="2" t="inlineStr">
        <is>
          <t>FM000367</t>
        </is>
      </c>
      <c r="B368" s="2" t="inlineStr">
        <is>
          <t>FM-NGOAITHANH</t>
        </is>
      </c>
      <c r="C368" s="2" t="inlineStr">
        <is>
          <t>Ngoại thành</t>
        </is>
      </c>
      <c r="D368" s="3" t="n">
        <v>2.1</v>
      </c>
      <c r="E368" s="4">
        <f>IFERROR(VLOOKUP(B368,GiaCuoc!$A$2:$C$6,3,FALSE),"Kiểm tra mã dịch vụ")</f>
        <v/>
      </c>
      <c r="F368" s="2">
        <f>IF(E368="Kiểm tra mã dịch vụ","Cần kiểm tra","Đã tra cước")</f>
        <v/>
      </c>
      <c r="G368" s="5" t="n">
        <v>46314</v>
      </c>
    </row>
    <row r="369">
      <c r="A369" s="2" t="inlineStr">
        <is>
          <t>FM000368</t>
        </is>
      </c>
      <c r="B369" s="2" t="inlineStr">
        <is>
          <t>FM-LIENMIEN</t>
        </is>
      </c>
      <c r="C369" s="2" t="inlineStr">
        <is>
          <t>Liên miền</t>
        </is>
      </c>
      <c r="D369" s="3" t="n">
        <v>3.4</v>
      </c>
      <c r="E369" s="4">
        <f>IFERROR(VLOOKUP(B369,GiaCuoc!$A$2:$C$6,3,FALSE),"Kiểm tra mã dịch vụ")</f>
        <v/>
      </c>
      <c r="F369" s="2">
        <f>IF(E369="Kiểm tra mã dịch vụ","Cần kiểm tra","Đã tra cước")</f>
        <v/>
      </c>
      <c r="G369" s="5" t="n">
        <v>46313</v>
      </c>
    </row>
    <row r="370">
      <c r="A370" s="2" t="inlineStr">
        <is>
          <t>FM000369</t>
        </is>
      </c>
      <c r="B370" s="2" t="inlineStr">
        <is>
          <t>FM-HOATOC</t>
        </is>
      </c>
      <c r="C370" s="2" t="inlineStr">
        <is>
          <t>Hỏa tốc</t>
        </is>
      </c>
      <c r="D370" s="3" t="n">
        <v>4.7</v>
      </c>
      <c r="E370" s="4">
        <f>IFERROR(VLOOKUP(B370,GiaCuoc!$A$2:$C$6,3,FALSE),"Kiểm tra mã dịch vụ")</f>
        <v/>
      </c>
      <c r="F370" s="2">
        <f>IF(E370="Kiểm tra mã dịch vụ","Cần kiểm tra","Đã tra cước")</f>
        <v/>
      </c>
      <c r="G370" s="5" t="n">
        <v>46312</v>
      </c>
    </row>
    <row r="371">
      <c r="A371" s="2" t="inlineStr">
        <is>
          <t>FM000370</t>
        </is>
      </c>
      <c r="B371" s="2" t="inlineStr">
        <is>
          <t>FM-TIETKIEM</t>
        </is>
      </c>
      <c r="C371" s="2" t="inlineStr">
        <is>
          <t>Tiết kiệm</t>
        </is>
      </c>
      <c r="D371" s="3" t="n">
        <v>6</v>
      </c>
      <c r="E371" s="4">
        <f>IFERROR(VLOOKUP(B371,GiaCuoc!$A$2:$C$6,3,FALSE),"Kiểm tra mã dịch vụ")</f>
        <v/>
      </c>
      <c r="F371" s="2">
        <f>IF(E371="Kiểm tra mã dịch vụ","Cần kiểm tra","Đã tra cước")</f>
        <v/>
      </c>
      <c r="G371" s="5" t="n">
        <v>46311</v>
      </c>
    </row>
    <row r="372">
      <c r="A372" s="2" t="inlineStr">
        <is>
          <t>FM000371</t>
        </is>
      </c>
      <c r="B372" s="2" t="inlineStr">
        <is>
          <t>FM-NOIBAI</t>
        </is>
      </c>
      <c r="C372" s="2" t="inlineStr">
        <is>
          <t>Nội thành</t>
        </is>
      </c>
      <c r="D372" s="3" t="n">
        <v>7.3</v>
      </c>
      <c r="E372" s="4">
        <f>IFERROR(VLOOKUP(B372,GiaCuoc!$A$2:$C$6,3,FALSE),"Kiểm tra mã dịch vụ")</f>
        <v/>
      </c>
      <c r="F372" s="2">
        <f>IF(E372="Kiểm tra mã dịch vụ","Cần kiểm tra","Đã tra cước")</f>
        <v/>
      </c>
      <c r="G372" s="5" t="n">
        <v>46310</v>
      </c>
    </row>
    <row r="373">
      <c r="A373" s="2" t="inlineStr">
        <is>
          <t>FM000372</t>
        </is>
      </c>
      <c r="B373" s="2" t="inlineStr">
        <is>
          <t>FM-NGOAITHANH</t>
        </is>
      </c>
      <c r="C373" s="2" t="inlineStr">
        <is>
          <t>Ngoại thành</t>
        </is>
      </c>
      <c r="D373" s="3" t="n">
        <v>8.6</v>
      </c>
      <c r="E373" s="4">
        <f>IFERROR(VLOOKUP(B373,GiaCuoc!$A$2:$C$6,3,FALSE),"Kiểm tra mã dịch vụ")</f>
        <v/>
      </c>
      <c r="F373" s="2">
        <f>IF(E373="Kiểm tra mã dịch vụ","Cần kiểm tra","Đã tra cước")</f>
        <v/>
      </c>
      <c r="G373" s="5" t="n">
        <v>46309</v>
      </c>
    </row>
    <row r="374">
      <c r="A374" s="2" t="inlineStr">
        <is>
          <t>FM000373</t>
        </is>
      </c>
      <c r="B374" s="2" t="inlineStr">
        <is>
          <t>FM-LIENMIEN</t>
        </is>
      </c>
      <c r="C374" s="2" t="inlineStr">
        <is>
          <t>Liên miền</t>
        </is>
      </c>
      <c r="D374" s="3" t="n">
        <v>9.9</v>
      </c>
      <c r="E374" s="4">
        <f>IFERROR(VLOOKUP(B374,GiaCuoc!$A$2:$C$6,3,FALSE),"Kiểm tra mã dịch vụ")</f>
        <v/>
      </c>
      <c r="F374" s="2">
        <f>IF(E374="Kiểm tra mã dịch vụ","Cần kiểm tra","Đã tra cước")</f>
        <v/>
      </c>
      <c r="G374" s="5" t="n">
        <v>46308</v>
      </c>
    </row>
    <row r="375">
      <c r="A375" s="2" t="inlineStr">
        <is>
          <t>FM000374</t>
        </is>
      </c>
      <c r="B375" s="2" t="inlineStr">
        <is>
          <t>FM-HOATOC</t>
        </is>
      </c>
      <c r="C375" s="2" t="inlineStr">
        <is>
          <t>Hỏa tốc</t>
        </is>
      </c>
      <c r="D375" s="3" t="n">
        <v>11.2</v>
      </c>
      <c r="E375" s="4">
        <f>IFERROR(VLOOKUP(B375,GiaCuoc!$A$2:$C$6,3,FALSE),"Kiểm tra mã dịch vụ")</f>
        <v/>
      </c>
      <c r="F375" s="2">
        <f>IF(E375="Kiểm tra mã dịch vụ","Cần kiểm tra","Đã tra cước")</f>
        <v/>
      </c>
      <c r="G375" s="5" t="n">
        <v>46307</v>
      </c>
    </row>
    <row r="376">
      <c r="A376" s="2" t="inlineStr">
        <is>
          <t>FM000375</t>
        </is>
      </c>
      <c r="B376" s="2" t="inlineStr">
        <is>
          <t>FM-TIETKIEM</t>
        </is>
      </c>
      <c r="C376" s="2" t="inlineStr">
        <is>
          <t>Tiết kiệm</t>
        </is>
      </c>
      <c r="D376" s="3" t="n">
        <v>12.5</v>
      </c>
      <c r="E376" s="4">
        <f>IFERROR(VLOOKUP(B376,GiaCuoc!$A$2:$C$6,3,FALSE),"Kiểm tra mã dịch vụ")</f>
        <v/>
      </c>
      <c r="F376" s="2">
        <f>IF(E376="Kiểm tra mã dịch vụ","Cần kiểm tra","Đã tra cước")</f>
        <v/>
      </c>
      <c r="G376" s="5" t="n">
        <v>46306</v>
      </c>
    </row>
    <row r="377">
      <c r="A377" s="2" t="inlineStr">
        <is>
          <t>FM000376</t>
        </is>
      </c>
      <c r="B377" s="2" t="inlineStr">
        <is>
          <t>FM-NOIBAI</t>
        </is>
      </c>
      <c r="C377" s="2" t="inlineStr">
        <is>
          <t>Nội thành</t>
        </is>
      </c>
      <c r="D377" s="3" t="n">
        <v>13.8</v>
      </c>
      <c r="E377" s="4">
        <f>IFERROR(VLOOKUP(B377,GiaCuoc!$A$2:$C$6,3,FALSE),"Kiểm tra mã dịch vụ")</f>
        <v/>
      </c>
      <c r="F377" s="2">
        <f>IF(E377="Kiểm tra mã dịch vụ","Cần kiểm tra","Đã tra cước")</f>
        <v/>
      </c>
      <c r="G377" s="5" t="n">
        <v>46305</v>
      </c>
    </row>
    <row r="378">
      <c r="A378" s="2" t="inlineStr">
        <is>
          <t>FM000377</t>
        </is>
      </c>
      <c r="B378" s="2" t="inlineStr">
        <is>
          <t>FM-NGOAITHANH</t>
        </is>
      </c>
      <c r="C378" s="2" t="inlineStr">
        <is>
          <t>Ngoại thành</t>
        </is>
      </c>
      <c r="D378" s="3" t="n">
        <v>15.1</v>
      </c>
      <c r="E378" s="4">
        <f>IFERROR(VLOOKUP(B378,GiaCuoc!$A$2:$C$6,3,FALSE),"Kiểm tra mã dịch vụ")</f>
        <v/>
      </c>
      <c r="F378" s="2">
        <f>IF(E378="Kiểm tra mã dịch vụ","Cần kiểm tra","Đã tra cước")</f>
        <v/>
      </c>
      <c r="G378" s="5" t="n">
        <v>46304</v>
      </c>
    </row>
    <row r="379">
      <c r="A379" s="2" t="inlineStr">
        <is>
          <t>FM000378</t>
        </is>
      </c>
      <c r="B379" s="2" t="inlineStr">
        <is>
          <t>FM-LIENMIEN</t>
        </is>
      </c>
      <c r="C379" s="2" t="inlineStr">
        <is>
          <t>Liên miền</t>
        </is>
      </c>
      <c r="D379" s="3" t="n">
        <v>16.4</v>
      </c>
      <c r="E379" s="4">
        <f>IFERROR(VLOOKUP(B379,GiaCuoc!$A$2:$C$6,3,FALSE),"Kiểm tra mã dịch vụ")</f>
        <v/>
      </c>
      <c r="F379" s="2">
        <f>IF(E379="Kiểm tra mã dịch vụ","Cần kiểm tra","Đã tra cước")</f>
        <v/>
      </c>
      <c r="G379" s="5" t="n">
        <v>46303</v>
      </c>
    </row>
    <row r="380">
      <c r="A380" s="2" t="inlineStr">
        <is>
          <t>FM000379</t>
        </is>
      </c>
      <c r="B380" s="2" t="inlineStr">
        <is>
          <t>FM-HOATOC</t>
        </is>
      </c>
      <c r="C380" s="2" t="inlineStr">
        <is>
          <t>Hỏa tốc</t>
        </is>
      </c>
      <c r="D380" s="3" t="n">
        <v>17.7</v>
      </c>
      <c r="E380" s="4">
        <f>IFERROR(VLOOKUP(B380,GiaCuoc!$A$2:$C$6,3,FALSE),"Kiểm tra mã dịch vụ")</f>
        <v/>
      </c>
      <c r="F380" s="2">
        <f>IF(E380="Kiểm tra mã dịch vụ","Cần kiểm tra","Đã tra cước")</f>
        <v/>
      </c>
      <c r="G380" s="5" t="n">
        <v>46302</v>
      </c>
    </row>
    <row r="381">
      <c r="A381" s="2" t="inlineStr">
        <is>
          <t>FM000380</t>
        </is>
      </c>
      <c r="B381" s="2" t="inlineStr">
        <is>
          <t>FM-TIETKIEM</t>
        </is>
      </c>
      <c r="C381" s="2" t="inlineStr">
        <is>
          <t>Tiết kiệm</t>
        </is>
      </c>
      <c r="D381" s="3" t="n">
        <v>19</v>
      </c>
      <c r="E381" s="4">
        <f>IFERROR(VLOOKUP(B381,GiaCuoc!$A$2:$C$6,3,FALSE),"Kiểm tra mã dịch vụ")</f>
        <v/>
      </c>
      <c r="F381" s="2">
        <f>IF(E381="Kiểm tra mã dịch vụ","Cần kiểm tra","Đã tra cước")</f>
        <v/>
      </c>
      <c r="G381" s="5" t="n">
        <v>46301</v>
      </c>
    </row>
    <row r="382">
      <c r="A382" s="2" t="inlineStr">
        <is>
          <t>FM000381</t>
        </is>
      </c>
      <c r="B382" s="2" t="inlineStr">
        <is>
          <t>FM-NOIBAI</t>
        </is>
      </c>
      <c r="C382" s="2" t="inlineStr">
        <is>
          <t>Nội thành</t>
        </is>
      </c>
      <c r="D382" s="3" t="n">
        <v>20.3</v>
      </c>
      <c r="E382" s="4">
        <f>IFERROR(VLOOKUP(B382,GiaCuoc!$A$2:$C$6,3,FALSE),"Kiểm tra mã dịch vụ")</f>
        <v/>
      </c>
      <c r="F382" s="2">
        <f>IF(E382="Kiểm tra mã dịch vụ","Cần kiểm tra","Đã tra cước")</f>
        <v/>
      </c>
      <c r="G382" s="5" t="n">
        <v>46300</v>
      </c>
    </row>
    <row r="383">
      <c r="A383" s="2" t="inlineStr">
        <is>
          <t>FM000382</t>
        </is>
      </c>
      <c r="B383" s="2" t="inlineStr">
        <is>
          <t>FM-NGOAITHANH</t>
        </is>
      </c>
      <c r="C383" s="2" t="inlineStr">
        <is>
          <t>Ngoại thành</t>
        </is>
      </c>
      <c r="D383" s="3" t="n">
        <v>21.6</v>
      </c>
      <c r="E383" s="4">
        <f>IFERROR(VLOOKUP(B383,GiaCuoc!$A$2:$C$6,3,FALSE),"Kiểm tra mã dịch vụ")</f>
        <v/>
      </c>
      <c r="F383" s="2">
        <f>IF(E383="Kiểm tra mã dịch vụ","Cần kiểm tra","Đã tra cước")</f>
        <v/>
      </c>
      <c r="G383" s="5" t="n">
        <v>46299</v>
      </c>
    </row>
    <row r="384">
      <c r="A384" s="2" t="inlineStr">
        <is>
          <t>FM000383</t>
        </is>
      </c>
      <c r="B384" s="2" t="inlineStr">
        <is>
          <t>FM-LIENMIEN</t>
        </is>
      </c>
      <c r="C384" s="2" t="inlineStr">
        <is>
          <t>Liên miền</t>
        </is>
      </c>
      <c r="D384" s="3" t="n">
        <v>22.9</v>
      </c>
      <c r="E384" s="4">
        <f>IFERROR(VLOOKUP(B384,GiaCuoc!$A$2:$C$6,3,FALSE),"Kiểm tra mã dịch vụ")</f>
        <v/>
      </c>
      <c r="F384" s="2">
        <f>IF(E384="Kiểm tra mã dịch vụ","Cần kiểm tra","Đã tra cước")</f>
        <v/>
      </c>
      <c r="G384" s="5" t="n">
        <v>46298</v>
      </c>
    </row>
    <row r="385">
      <c r="A385" s="2" t="inlineStr">
        <is>
          <t>FM000384</t>
        </is>
      </c>
      <c r="B385" s="2" t="inlineStr">
        <is>
          <t>FM-HOATOC</t>
        </is>
      </c>
      <c r="C385" s="2" t="inlineStr">
        <is>
          <t>Hỏa tốc</t>
        </is>
      </c>
      <c r="D385" s="3" t="n">
        <v>24.2</v>
      </c>
      <c r="E385" s="4">
        <f>IFERROR(VLOOKUP(B385,GiaCuoc!$A$2:$C$6,3,FALSE),"Kiểm tra mã dịch vụ")</f>
        <v/>
      </c>
      <c r="F385" s="2">
        <f>IF(E385="Kiểm tra mã dịch vụ","Cần kiểm tra","Đã tra cước")</f>
        <v/>
      </c>
      <c r="G385" s="5" t="n">
        <v>46297</v>
      </c>
    </row>
    <row r="386">
      <c r="A386" s="2" t="inlineStr">
        <is>
          <t>FM000385</t>
        </is>
      </c>
      <c r="B386" s="2" t="inlineStr">
        <is>
          <t>FM-TIETKIEM</t>
        </is>
      </c>
      <c r="C386" s="2" t="inlineStr">
        <is>
          <t>Tiết kiệm</t>
        </is>
      </c>
      <c r="D386" s="3" t="n">
        <v>0.5</v>
      </c>
      <c r="E386" s="4">
        <f>IFERROR(VLOOKUP(B386,GiaCuoc!$A$2:$C$6,3,FALSE),"Kiểm tra mã dịch vụ")</f>
        <v/>
      </c>
      <c r="F386" s="2">
        <f>IF(E386="Kiểm tra mã dịch vụ","Cần kiểm tra","Đã tra cước")</f>
        <v/>
      </c>
      <c r="G386" s="5" t="n">
        <v>46296</v>
      </c>
    </row>
    <row r="387">
      <c r="A387" s="2" t="inlineStr">
        <is>
          <t>FM000386</t>
        </is>
      </c>
      <c r="B387" s="2" t="inlineStr">
        <is>
          <t>FM-NOIBAI</t>
        </is>
      </c>
      <c r="C387" s="2" t="inlineStr">
        <is>
          <t>Nội thành</t>
        </is>
      </c>
      <c r="D387" s="3" t="n">
        <v>1.8</v>
      </c>
      <c r="E387" s="4">
        <f>IFERROR(VLOOKUP(B387,GiaCuoc!$A$2:$C$6,3,FALSE),"Kiểm tra mã dịch vụ")</f>
        <v/>
      </c>
      <c r="F387" s="2">
        <f>IF(E387="Kiểm tra mã dịch vụ","Cần kiểm tra","Đã tra cước")</f>
        <v/>
      </c>
      <c r="G387" s="5" t="n">
        <v>46295</v>
      </c>
    </row>
    <row r="388">
      <c r="A388" s="2" t="inlineStr">
        <is>
          <t>FM000387</t>
        </is>
      </c>
      <c r="B388" s="2" t="inlineStr">
        <is>
          <t>FM-NGOAITHANH</t>
        </is>
      </c>
      <c r="C388" s="2" t="inlineStr">
        <is>
          <t>Ngoại thành</t>
        </is>
      </c>
      <c r="D388" s="3" t="n">
        <v>3.1</v>
      </c>
      <c r="E388" s="4">
        <f>IFERROR(VLOOKUP(B388,GiaCuoc!$A$2:$C$6,3,FALSE),"Kiểm tra mã dịch vụ")</f>
        <v/>
      </c>
      <c r="F388" s="2">
        <f>IF(E388="Kiểm tra mã dịch vụ","Cần kiểm tra","Đã tra cước")</f>
        <v/>
      </c>
      <c r="G388" s="5" t="n">
        <v>46294</v>
      </c>
    </row>
    <row r="389">
      <c r="A389" s="2" t="inlineStr">
        <is>
          <t>FM000388</t>
        </is>
      </c>
      <c r="B389" s="2" t="inlineStr">
        <is>
          <t>FM-LIENMIEN</t>
        </is>
      </c>
      <c r="C389" s="2" t="inlineStr">
        <is>
          <t>Liên miền</t>
        </is>
      </c>
      <c r="D389" s="3" t="n">
        <v>4.4</v>
      </c>
      <c r="E389" s="4">
        <f>IFERROR(VLOOKUP(B389,GiaCuoc!$A$2:$C$6,3,FALSE),"Kiểm tra mã dịch vụ")</f>
        <v/>
      </c>
      <c r="F389" s="2">
        <f>IF(E389="Kiểm tra mã dịch vụ","Cần kiểm tra","Đã tra cước")</f>
        <v/>
      </c>
      <c r="G389" s="5" t="n">
        <v>46293</v>
      </c>
    </row>
    <row r="390">
      <c r="A390" s="2" t="inlineStr">
        <is>
          <t>FM000389</t>
        </is>
      </c>
      <c r="B390" s="2" t="inlineStr">
        <is>
          <t>FM-HOATOC</t>
        </is>
      </c>
      <c r="C390" s="2" t="inlineStr">
        <is>
          <t>Hỏa tốc</t>
        </is>
      </c>
      <c r="D390" s="3" t="n">
        <v>5.7</v>
      </c>
      <c r="E390" s="4">
        <f>IFERROR(VLOOKUP(B390,GiaCuoc!$A$2:$C$6,3,FALSE),"Kiểm tra mã dịch vụ")</f>
        <v/>
      </c>
      <c r="F390" s="2">
        <f>IF(E390="Kiểm tra mã dịch vụ","Cần kiểm tra","Đã tra cước")</f>
        <v/>
      </c>
      <c r="G390" s="5" t="n">
        <v>46292</v>
      </c>
    </row>
    <row r="391">
      <c r="A391" s="2" t="inlineStr">
        <is>
          <t>FM000390</t>
        </is>
      </c>
      <c r="B391" s="2" t="inlineStr">
        <is>
          <t>FM-TIETKIEM</t>
        </is>
      </c>
      <c r="C391" s="2" t="inlineStr">
        <is>
          <t>Tiết kiệm</t>
        </is>
      </c>
      <c r="D391" s="3" t="n">
        <v>7</v>
      </c>
      <c r="E391" s="4">
        <f>IFERROR(VLOOKUP(B391,GiaCuoc!$A$2:$C$6,3,FALSE),"Kiểm tra mã dịch vụ")</f>
        <v/>
      </c>
      <c r="F391" s="2">
        <f>IF(E391="Kiểm tra mã dịch vụ","Cần kiểm tra","Đã tra cước")</f>
        <v/>
      </c>
      <c r="G391" s="5" t="n">
        <v>46321</v>
      </c>
    </row>
    <row r="392">
      <c r="A392" s="2" t="inlineStr">
        <is>
          <t>FM000391</t>
        </is>
      </c>
      <c r="B392" s="2" t="inlineStr">
        <is>
          <t>FM-NOIBAI</t>
        </is>
      </c>
      <c r="C392" s="2" t="inlineStr">
        <is>
          <t>Nội thành</t>
        </is>
      </c>
      <c r="D392" s="3" t="n">
        <v>8.300000000000001</v>
      </c>
      <c r="E392" s="4">
        <f>IFERROR(VLOOKUP(B392,GiaCuoc!$A$2:$C$6,3,FALSE),"Kiểm tra mã dịch vụ")</f>
        <v/>
      </c>
      <c r="F392" s="2">
        <f>IF(E392="Kiểm tra mã dịch vụ","Cần kiểm tra","Đã tra cước")</f>
        <v/>
      </c>
      <c r="G392" s="5" t="n">
        <v>46320</v>
      </c>
    </row>
    <row r="393">
      <c r="A393" s="2" t="inlineStr">
        <is>
          <t>FM000392</t>
        </is>
      </c>
      <c r="B393" s="2" t="inlineStr">
        <is>
          <t>FM-NGOAITHANH</t>
        </is>
      </c>
      <c r="C393" s="2" t="inlineStr">
        <is>
          <t>Ngoại thành</t>
        </is>
      </c>
      <c r="D393" s="3" t="n">
        <v>9.6</v>
      </c>
      <c r="E393" s="4">
        <f>IFERROR(VLOOKUP(B393,GiaCuoc!$A$2:$C$6,3,FALSE),"Kiểm tra mã dịch vụ")</f>
        <v/>
      </c>
      <c r="F393" s="2">
        <f>IF(E393="Kiểm tra mã dịch vụ","Cần kiểm tra","Đã tra cước")</f>
        <v/>
      </c>
      <c r="G393" s="5" t="n">
        <v>46319</v>
      </c>
    </row>
    <row r="394">
      <c r="A394" s="2" t="inlineStr">
        <is>
          <t>FM000393</t>
        </is>
      </c>
      <c r="B394" s="2" t="inlineStr">
        <is>
          <t>FM-LIENMIEN</t>
        </is>
      </c>
      <c r="C394" s="2" t="inlineStr">
        <is>
          <t>Liên miền</t>
        </is>
      </c>
      <c r="D394" s="3" t="n">
        <v>10.9</v>
      </c>
      <c r="E394" s="4">
        <f>IFERROR(VLOOKUP(B394,GiaCuoc!$A$2:$C$6,3,FALSE),"Kiểm tra mã dịch vụ")</f>
        <v/>
      </c>
      <c r="F394" s="2">
        <f>IF(E394="Kiểm tra mã dịch vụ","Cần kiểm tra","Đã tra cước")</f>
        <v/>
      </c>
      <c r="G394" s="5" t="n">
        <v>46318</v>
      </c>
    </row>
    <row r="395">
      <c r="A395" s="2" t="inlineStr">
        <is>
          <t>FM000394</t>
        </is>
      </c>
      <c r="B395" s="2" t="inlineStr">
        <is>
          <t>FM-HOATOC</t>
        </is>
      </c>
      <c r="C395" s="2" t="inlineStr">
        <is>
          <t>Hỏa tốc</t>
        </is>
      </c>
      <c r="D395" s="3" t="n">
        <v>12.2</v>
      </c>
      <c r="E395" s="4">
        <f>IFERROR(VLOOKUP(B395,GiaCuoc!$A$2:$C$6,3,FALSE),"Kiểm tra mã dịch vụ")</f>
        <v/>
      </c>
      <c r="F395" s="2">
        <f>IF(E395="Kiểm tra mã dịch vụ","Cần kiểm tra","Đã tra cước")</f>
        <v/>
      </c>
      <c r="G395" s="5" t="n">
        <v>46317</v>
      </c>
    </row>
    <row r="396">
      <c r="A396" s="2" t="inlineStr">
        <is>
          <t>FM000395</t>
        </is>
      </c>
      <c r="B396" s="2" t="inlineStr">
        <is>
          <t>FM-TIETKIEM</t>
        </is>
      </c>
      <c r="C396" s="2" t="inlineStr">
        <is>
          <t>Tiết kiệm</t>
        </is>
      </c>
      <c r="D396" s="3" t="n">
        <v>13.5</v>
      </c>
      <c r="E396" s="4">
        <f>IFERROR(VLOOKUP(B396,GiaCuoc!$A$2:$C$6,3,FALSE),"Kiểm tra mã dịch vụ")</f>
        <v/>
      </c>
      <c r="F396" s="2">
        <f>IF(E396="Kiểm tra mã dịch vụ","Cần kiểm tra","Đã tra cước")</f>
        <v/>
      </c>
      <c r="G396" s="5" t="n">
        <v>46316</v>
      </c>
    </row>
    <row r="397">
      <c r="A397" s="2" t="inlineStr">
        <is>
          <t>FM000396</t>
        </is>
      </c>
      <c r="B397" s="2" t="inlineStr">
        <is>
          <t>FM-NOIBAI</t>
        </is>
      </c>
      <c r="C397" s="2" t="inlineStr">
        <is>
          <t>Nội thành</t>
        </is>
      </c>
      <c r="D397" s="3" t="n">
        <v>14.8</v>
      </c>
      <c r="E397" s="4">
        <f>IFERROR(VLOOKUP(B397,GiaCuoc!$A$2:$C$6,3,FALSE),"Kiểm tra mã dịch vụ")</f>
        <v/>
      </c>
      <c r="F397" s="2">
        <f>IF(E397="Kiểm tra mã dịch vụ","Cần kiểm tra","Đã tra cước")</f>
        <v/>
      </c>
      <c r="G397" s="5" t="n">
        <v>46315</v>
      </c>
    </row>
    <row r="398">
      <c r="A398" s="2" t="inlineStr">
        <is>
          <t>FM000397</t>
        </is>
      </c>
      <c r="B398" s="2" t="inlineStr">
        <is>
          <t>FM-NGOAITHANH</t>
        </is>
      </c>
      <c r="C398" s="2" t="inlineStr">
        <is>
          <t>Ngoại thành</t>
        </is>
      </c>
      <c r="D398" s="3" t="n">
        <v>16.1</v>
      </c>
      <c r="E398" s="4">
        <f>IFERROR(VLOOKUP(B398,GiaCuoc!$A$2:$C$6,3,FALSE),"Kiểm tra mã dịch vụ")</f>
        <v/>
      </c>
      <c r="F398" s="2">
        <f>IF(E398="Kiểm tra mã dịch vụ","Cần kiểm tra","Đã tra cước")</f>
        <v/>
      </c>
      <c r="G398" s="5" t="n">
        <v>46314</v>
      </c>
    </row>
    <row r="399">
      <c r="A399" s="2" t="inlineStr">
        <is>
          <t>FM000398</t>
        </is>
      </c>
      <c r="B399" s="2" t="inlineStr">
        <is>
          <t>FM-LIENMIEN</t>
        </is>
      </c>
      <c r="C399" s="2" t="inlineStr">
        <is>
          <t>Liên miền</t>
        </is>
      </c>
      <c r="D399" s="3" t="n">
        <v>17.4</v>
      </c>
      <c r="E399" s="4">
        <f>IFERROR(VLOOKUP(B399,GiaCuoc!$A$2:$C$6,3,FALSE),"Kiểm tra mã dịch vụ")</f>
        <v/>
      </c>
      <c r="F399" s="2">
        <f>IF(E399="Kiểm tra mã dịch vụ","Cần kiểm tra","Đã tra cước")</f>
        <v/>
      </c>
      <c r="G399" s="5" t="n">
        <v>46313</v>
      </c>
    </row>
    <row r="400">
      <c r="A400" s="2" t="inlineStr">
        <is>
          <t>FM000399</t>
        </is>
      </c>
      <c r="B400" s="2" t="inlineStr">
        <is>
          <t>FM-HOATOC</t>
        </is>
      </c>
      <c r="C400" s="2" t="inlineStr">
        <is>
          <t>Hỏa tốc</t>
        </is>
      </c>
      <c r="D400" s="3" t="n">
        <v>18.7</v>
      </c>
      <c r="E400" s="4">
        <f>IFERROR(VLOOKUP(B400,GiaCuoc!$A$2:$C$6,3,FALSE),"Kiểm tra mã dịch vụ")</f>
        <v/>
      </c>
      <c r="F400" s="2">
        <f>IF(E400="Kiểm tra mã dịch vụ","Cần kiểm tra","Đã tra cước")</f>
        <v/>
      </c>
      <c r="G400" s="5" t="n">
        <v>46312</v>
      </c>
    </row>
    <row r="401">
      <c r="A401" s="2" t="inlineStr">
        <is>
          <t>FM000400</t>
        </is>
      </c>
      <c r="B401" s="2" t="inlineStr">
        <is>
          <t>FM-TIETKIEM</t>
        </is>
      </c>
      <c r="C401" s="2" t="inlineStr">
        <is>
          <t>Tiết kiệm</t>
        </is>
      </c>
      <c r="D401" s="3" t="n">
        <v>20</v>
      </c>
      <c r="E401" s="4">
        <f>IFERROR(VLOOKUP(B401,GiaCuoc!$A$2:$C$6,3,FALSE),"Kiểm tra mã dịch vụ")</f>
        <v/>
      </c>
      <c r="F401" s="2">
        <f>IF(E401="Kiểm tra mã dịch vụ","Cần kiểm tra","Đã tra cước")</f>
        <v/>
      </c>
      <c r="G401" s="5" t="n">
        <v>46311</v>
      </c>
    </row>
    <row r="402">
      <c r="A402" s="2" t="inlineStr">
        <is>
          <t>FM000401</t>
        </is>
      </c>
      <c r="B402" s="2" t="inlineStr">
        <is>
          <t>FM-NOIBAI</t>
        </is>
      </c>
      <c r="C402" s="2" t="inlineStr">
        <is>
          <t>Nội thành</t>
        </is>
      </c>
      <c r="D402" s="3" t="n">
        <v>21.3</v>
      </c>
      <c r="E402" s="4">
        <f>IFERROR(VLOOKUP(B402,GiaCuoc!$A$2:$C$6,3,FALSE),"Kiểm tra mã dịch vụ")</f>
        <v/>
      </c>
      <c r="F402" s="2">
        <f>IF(E402="Kiểm tra mã dịch vụ","Cần kiểm tra","Đã tra cước")</f>
        <v/>
      </c>
      <c r="G402" s="5" t="n">
        <v>46310</v>
      </c>
    </row>
    <row r="403">
      <c r="A403" s="2" t="inlineStr">
        <is>
          <t>FM000402</t>
        </is>
      </c>
      <c r="B403" s="2" t="inlineStr">
        <is>
          <t>FM-NGOAITHANH</t>
        </is>
      </c>
      <c r="C403" s="2" t="inlineStr">
        <is>
          <t>Ngoại thành</t>
        </is>
      </c>
      <c r="D403" s="3" t="n">
        <v>22.6</v>
      </c>
      <c r="E403" s="4">
        <f>IFERROR(VLOOKUP(B403,GiaCuoc!$A$2:$C$6,3,FALSE),"Kiểm tra mã dịch vụ")</f>
        <v/>
      </c>
      <c r="F403" s="2">
        <f>IF(E403="Kiểm tra mã dịch vụ","Cần kiểm tra","Đã tra cước")</f>
        <v/>
      </c>
      <c r="G403" s="5" t="n">
        <v>46309</v>
      </c>
    </row>
    <row r="404">
      <c r="A404" s="2" t="inlineStr">
        <is>
          <t>FM000403</t>
        </is>
      </c>
      <c r="B404" s="2" t="inlineStr">
        <is>
          <t>FM-LIENMIEN</t>
        </is>
      </c>
      <c r="C404" s="2" t="inlineStr">
        <is>
          <t>Liên miền</t>
        </is>
      </c>
      <c r="D404" s="3" t="n">
        <v>23.9</v>
      </c>
      <c r="E404" s="4">
        <f>IFERROR(VLOOKUP(B404,GiaCuoc!$A$2:$C$6,3,FALSE),"Kiểm tra mã dịch vụ")</f>
        <v/>
      </c>
      <c r="F404" s="2">
        <f>IF(E404="Kiểm tra mã dịch vụ","Cần kiểm tra","Đã tra cước")</f>
        <v/>
      </c>
      <c r="G404" s="5" t="n">
        <v>46308</v>
      </c>
    </row>
    <row r="405">
      <c r="A405" s="2" t="inlineStr">
        <is>
          <t>FM000404</t>
        </is>
      </c>
      <c r="B405" s="2" t="inlineStr">
        <is>
          <t>FM-HOATOC</t>
        </is>
      </c>
      <c r="C405" s="2" t="inlineStr">
        <is>
          <t>Hỏa tốc</t>
        </is>
      </c>
      <c r="D405" s="3" t="n">
        <v>0.2</v>
      </c>
      <c r="E405" s="4">
        <f>IFERROR(VLOOKUP(B405,GiaCuoc!$A$2:$C$6,3,FALSE),"Kiểm tra mã dịch vụ")</f>
        <v/>
      </c>
      <c r="F405" s="2">
        <f>IF(E405="Kiểm tra mã dịch vụ","Cần kiểm tra","Đã tra cước")</f>
        <v/>
      </c>
      <c r="G405" s="5" t="n">
        <v>46307</v>
      </c>
    </row>
    <row r="406">
      <c r="A406" s="2" t="inlineStr">
        <is>
          <t>FM000405</t>
        </is>
      </c>
      <c r="B406" s="2" t="inlineStr">
        <is>
          <t>FM-TIETKIEM</t>
        </is>
      </c>
      <c r="C406" s="2" t="inlineStr">
        <is>
          <t>Tiết kiệm</t>
        </is>
      </c>
      <c r="D406" s="3" t="n">
        <v>1.5</v>
      </c>
      <c r="E406" s="4">
        <f>IFERROR(VLOOKUP(B406,GiaCuoc!$A$2:$C$6,3,FALSE),"Kiểm tra mã dịch vụ")</f>
        <v/>
      </c>
      <c r="F406" s="2">
        <f>IF(E406="Kiểm tra mã dịch vụ","Cần kiểm tra","Đã tra cước")</f>
        <v/>
      </c>
      <c r="G406" s="5" t="n">
        <v>46306</v>
      </c>
    </row>
    <row r="407">
      <c r="A407" s="2" t="inlineStr">
        <is>
          <t>FM000406</t>
        </is>
      </c>
      <c r="B407" s="2" t="inlineStr">
        <is>
          <t>FM-NOIBAI</t>
        </is>
      </c>
      <c r="C407" s="2" t="inlineStr">
        <is>
          <t>Nội thành</t>
        </is>
      </c>
      <c r="D407" s="3" t="n">
        <v>2.8</v>
      </c>
      <c r="E407" s="4">
        <f>IFERROR(VLOOKUP(B407,GiaCuoc!$A$2:$C$6,3,FALSE),"Kiểm tra mã dịch vụ")</f>
        <v/>
      </c>
      <c r="F407" s="2">
        <f>IF(E407="Kiểm tra mã dịch vụ","Cần kiểm tra","Đã tra cước")</f>
        <v/>
      </c>
      <c r="G407" s="5" t="n">
        <v>46305</v>
      </c>
    </row>
    <row r="408">
      <c r="A408" s="2" t="inlineStr">
        <is>
          <t>FM000407</t>
        </is>
      </c>
      <c r="B408" s="2" t="inlineStr">
        <is>
          <t>FM-NGOAITHANH</t>
        </is>
      </c>
      <c r="C408" s="2" t="inlineStr">
        <is>
          <t>Ngoại thành</t>
        </is>
      </c>
      <c r="D408" s="3" t="n">
        <v>4.1</v>
      </c>
      <c r="E408" s="4">
        <f>IFERROR(VLOOKUP(B408,GiaCuoc!$A$2:$C$6,3,FALSE),"Kiểm tra mã dịch vụ")</f>
        <v/>
      </c>
      <c r="F408" s="2">
        <f>IF(E408="Kiểm tra mã dịch vụ","Cần kiểm tra","Đã tra cước")</f>
        <v/>
      </c>
      <c r="G408" s="5" t="n">
        <v>46304</v>
      </c>
    </row>
    <row r="409">
      <c r="A409" s="2" t="inlineStr">
        <is>
          <t>FM000408</t>
        </is>
      </c>
      <c r="B409" s="2" t="inlineStr">
        <is>
          <t>FM-LIENMIEN</t>
        </is>
      </c>
      <c r="C409" s="2" t="inlineStr">
        <is>
          <t>Liên miền</t>
        </is>
      </c>
      <c r="D409" s="3" t="n">
        <v>5.4</v>
      </c>
      <c r="E409" s="4">
        <f>IFERROR(VLOOKUP(B409,GiaCuoc!$A$2:$C$6,3,FALSE),"Kiểm tra mã dịch vụ")</f>
        <v/>
      </c>
      <c r="F409" s="2">
        <f>IF(E409="Kiểm tra mã dịch vụ","Cần kiểm tra","Đã tra cước")</f>
        <v/>
      </c>
      <c r="G409" s="5" t="n">
        <v>46303</v>
      </c>
    </row>
    <row r="410">
      <c r="A410" s="2" t="inlineStr">
        <is>
          <t>FM000409</t>
        </is>
      </c>
      <c r="B410" s="2" t="inlineStr">
        <is>
          <t>FM-HOATOC</t>
        </is>
      </c>
      <c r="C410" s="2" t="inlineStr">
        <is>
          <t>Hỏa tốc</t>
        </is>
      </c>
      <c r="D410" s="3" t="n">
        <v>6.7</v>
      </c>
      <c r="E410" s="4">
        <f>IFERROR(VLOOKUP(B410,GiaCuoc!$A$2:$C$6,3,FALSE),"Kiểm tra mã dịch vụ")</f>
        <v/>
      </c>
      <c r="F410" s="2">
        <f>IF(E410="Kiểm tra mã dịch vụ","Cần kiểm tra","Đã tra cước")</f>
        <v/>
      </c>
      <c r="G410" s="5" t="n">
        <v>46302</v>
      </c>
    </row>
    <row r="411">
      <c r="A411" s="2" t="inlineStr">
        <is>
          <t>FM000410</t>
        </is>
      </c>
      <c r="B411" s="2" t="inlineStr">
        <is>
          <t>FM-TIETKIEM</t>
        </is>
      </c>
      <c r="C411" s="2" t="inlineStr">
        <is>
          <t>Tiết kiệm</t>
        </is>
      </c>
      <c r="D411" s="3" t="n">
        <v>8</v>
      </c>
      <c r="E411" s="4">
        <f>IFERROR(VLOOKUP(B411,GiaCuoc!$A$2:$C$6,3,FALSE),"Kiểm tra mã dịch vụ")</f>
        <v/>
      </c>
      <c r="F411" s="2">
        <f>IF(E411="Kiểm tra mã dịch vụ","Cần kiểm tra","Đã tra cước")</f>
        <v/>
      </c>
      <c r="G411" s="5" t="n">
        <v>46301</v>
      </c>
    </row>
    <row r="412">
      <c r="A412" s="2" t="inlineStr">
        <is>
          <t>FM000411</t>
        </is>
      </c>
      <c r="B412" s="2" t="inlineStr">
        <is>
          <t>FM-NOIBAI</t>
        </is>
      </c>
      <c r="C412" s="2" t="inlineStr">
        <is>
          <t>Nội thành</t>
        </is>
      </c>
      <c r="D412" s="3" t="n">
        <v>9.300000000000001</v>
      </c>
      <c r="E412" s="4">
        <f>IFERROR(VLOOKUP(B412,GiaCuoc!$A$2:$C$6,3,FALSE),"Kiểm tra mã dịch vụ")</f>
        <v/>
      </c>
      <c r="F412" s="2">
        <f>IF(E412="Kiểm tra mã dịch vụ","Cần kiểm tra","Đã tra cước")</f>
        <v/>
      </c>
      <c r="G412" s="5" t="n">
        <v>46300</v>
      </c>
    </row>
    <row r="413">
      <c r="A413" s="2" t="inlineStr">
        <is>
          <t>FM000412</t>
        </is>
      </c>
      <c r="B413" s="2" t="inlineStr">
        <is>
          <t>FM-NGOAITHANH</t>
        </is>
      </c>
      <c r="C413" s="2" t="inlineStr">
        <is>
          <t>Ngoại thành</t>
        </is>
      </c>
      <c r="D413" s="3" t="n">
        <v>10.6</v>
      </c>
      <c r="E413" s="4">
        <f>IFERROR(VLOOKUP(B413,GiaCuoc!$A$2:$C$6,3,FALSE),"Kiểm tra mã dịch vụ")</f>
        <v/>
      </c>
      <c r="F413" s="2">
        <f>IF(E413="Kiểm tra mã dịch vụ","Cần kiểm tra","Đã tra cước")</f>
        <v/>
      </c>
      <c r="G413" s="5" t="n">
        <v>46299</v>
      </c>
    </row>
    <row r="414">
      <c r="A414" s="2" t="inlineStr">
        <is>
          <t>FM000413</t>
        </is>
      </c>
      <c r="B414" s="2" t="inlineStr">
        <is>
          <t>FM-LIENMIEN</t>
        </is>
      </c>
      <c r="C414" s="2" t="inlineStr">
        <is>
          <t>Liên miền</t>
        </is>
      </c>
      <c r="D414" s="3" t="n">
        <v>11.9</v>
      </c>
      <c r="E414" s="4">
        <f>IFERROR(VLOOKUP(B414,GiaCuoc!$A$2:$C$6,3,FALSE),"Kiểm tra mã dịch vụ")</f>
        <v/>
      </c>
      <c r="F414" s="2">
        <f>IF(E414="Kiểm tra mã dịch vụ","Cần kiểm tra","Đã tra cước")</f>
        <v/>
      </c>
      <c r="G414" s="5" t="n">
        <v>46298</v>
      </c>
    </row>
    <row r="415">
      <c r="A415" s="2" t="inlineStr">
        <is>
          <t>FM000414</t>
        </is>
      </c>
      <c r="B415" s="2" t="inlineStr">
        <is>
          <t>FM-HOATOC</t>
        </is>
      </c>
      <c r="C415" s="2" t="inlineStr">
        <is>
          <t>Hỏa tốc</t>
        </is>
      </c>
      <c r="D415" s="3" t="n">
        <v>13.2</v>
      </c>
      <c r="E415" s="4">
        <f>IFERROR(VLOOKUP(B415,GiaCuoc!$A$2:$C$6,3,FALSE),"Kiểm tra mã dịch vụ")</f>
        <v/>
      </c>
      <c r="F415" s="2">
        <f>IF(E415="Kiểm tra mã dịch vụ","Cần kiểm tra","Đã tra cước")</f>
        <v/>
      </c>
      <c r="G415" s="5" t="n">
        <v>46297</v>
      </c>
    </row>
    <row r="416">
      <c r="A416" s="2" t="inlineStr">
        <is>
          <t>FM000415</t>
        </is>
      </c>
      <c r="B416" s="2" t="inlineStr">
        <is>
          <t>FM-TIETKIEM</t>
        </is>
      </c>
      <c r="C416" s="2" t="inlineStr">
        <is>
          <t>Tiết kiệm</t>
        </is>
      </c>
      <c r="D416" s="3" t="n">
        <v>14.5</v>
      </c>
      <c r="E416" s="4">
        <f>IFERROR(VLOOKUP(B416,GiaCuoc!$A$2:$C$6,3,FALSE),"Kiểm tra mã dịch vụ")</f>
        <v/>
      </c>
      <c r="F416" s="2">
        <f>IF(E416="Kiểm tra mã dịch vụ","Cần kiểm tra","Đã tra cước")</f>
        <v/>
      </c>
      <c r="G416" s="5" t="n">
        <v>46296</v>
      </c>
    </row>
    <row r="417">
      <c r="A417" s="2" t="inlineStr">
        <is>
          <t>FM000416</t>
        </is>
      </c>
      <c r="B417" s="2" t="inlineStr">
        <is>
          <t>FM-NOIBAI</t>
        </is>
      </c>
      <c r="C417" s="2" t="inlineStr">
        <is>
          <t>Nội thành</t>
        </is>
      </c>
      <c r="D417" s="3" t="n">
        <v>15.8</v>
      </c>
      <c r="E417" s="4">
        <f>IFERROR(VLOOKUP(B417,GiaCuoc!$A$2:$C$6,3,FALSE),"Kiểm tra mã dịch vụ")</f>
        <v/>
      </c>
      <c r="F417" s="2">
        <f>IF(E417="Kiểm tra mã dịch vụ","Cần kiểm tra","Đã tra cước")</f>
        <v/>
      </c>
      <c r="G417" s="5" t="n">
        <v>46295</v>
      </c>
    </row>
    <row r="418">
      <c r="A418" s="2" t="inlineStr">
        <is>
          <t>FM000417</t>
        </is>
      </c>
      <c r="B418" s="2" t="inlineStr">
        <is>
          <t>FM-NGOAITHANH</t>
        </is>
      </c>
      <c r="C418" s="2" t="inlineStr">
        <is>
          <t>Ngoại thành</t>
        </is>
      </c>
      <c r="D418" s="3" t="n">
        <v>17.1</v>
      </c>
      <c r="E418" s="4">
        <f>IFERROR(VLOOKUP(B418,GiaCuoc!$A$2:$C$6,3,FALSE),"Kiểm tra mã dịch vụ")</f>
        <v/>
      </c>
      <c r="F418" s="2">
        <f>IF(E418="Kiểm tra mã dịch vụ","Cần kiểm tra","Đã tra cước")</f>
        <v/>
      </c>
      <c r="G418" s="5" t="n">
        <v>46294</v>
      </c>
    </row>
    <row r="419">
      <c r="A419" s="2" t="inlineStr">
        <is>
          <t>FM000418</t>
        </is>
      </c>
      <c r="B419" s="2" t="inlineStr">
        <is>
          <t>FM-LIENMIEN</t>
        </is>
      </c>
      <c r="C419" s="2" t="inlineStr">
        <is>
          <t>Liên miền</t>
        </is>
      </c>
      <c r="D419" s="3" t="n">
        <v>18.4</v>
      </c>
      <c r="E419" s="4">
        <f>IFERROR(VLOOKUP(B419,GiaCuoc!$A$2:$C$6,3,FALSE),"Kiểm tra mã dịch vụ")</f>
        <v/>
      </c>
      <c r="F419" s="2">
        <f>IF(E419="Kiểm tra mã dịch vụ","Cần kiểm tra","Đã tra cước")</f>
        <v/>
      </c>
      <c r="G419" s="5" t="n">
        <v>46293</v>
      </c>
    </row>
    <row r="420">
      <c r="A420" s="2" t="inlineStr">
        <is>
          <t>FM000419</t>
        </is>
      </c>
      <c r="B420" s="2" t="inlineStr">
        <is>
          <t>FM-HOATOC</t>
        </is>
      </c>
      <c r="C420" s="2" t="inlineStr">
        <is>
          <t>Hỏa tốc</t>
        </is>
      </c>
      <c r="D420" s="3" t="n">
        <v>19.7</v>
      </c>
      <c r="E420" s="4">
        <f>IFERROR(VLOOKUP(B420,GiaCuoc!$A$2:$C$6,3,FALSE),"Kiểm tra mã dịch vụ")</f>
        <v/>
      </c>
      <c r="F420" s="2">
        <f>IF(E420="Kiểm tra mã dịch vụ","Cần kiểm tra","Đã tra cước")</f>
        <v/>
      </c>
      <c r="G420" s="5" t="n">
        <v>46292</v>
      </c>
    </row>
    <row r="421">
      <c r="A421" s="2" t="inlineStr">
        <is>
          <t>FM000420</t>
        </is>
      </c>
      <c r="B421" s="2" t="inlineStr">
        <is>
          <t>FM-TIETKIEM</t>
        </is>
      </c>
      <c r="C421" s="2" t="inlineStr">
        <is>
          <t>Tiết kiệm</t>
        </is>
      </c>
      <c r="D421" s="3" t="n">
        <v>21</v>
      </c>
      <c r="E421" s="4">
        <f>IFERROR(VLOOKUP(B421,GiaCuoc!$A$2:$C$6,3,FALSE),"Kiểm tra mã dịch vụ")</f>
        <v/>
      </c>
      <c r="F421" s="2">
        <f>IF(E421="Kiểm tra mã dịch vụ","Cần kiểm tra","Đã tra cước")</f>
        <v/>
      </c>
      <c r="G421" s="5" t="n">
        <v>46321</v>
      </c>
    </row>
    <row r="422">
      <c r="A422" s="2" t="inlineStr">
        <is>
          <t>FM000421</t>
        </is>
      </c>
      <c r="B422" s="2" t="inlineStr">
        <is>
          <t>FM-NOIBAI</t>
        </is>
      </c>
      <c r="C422" s="2" t="inlineStr">
        <is>
          <t>Nội thành</t>
        </is>
      </c>
      <c r="D422" s="3" t="n">
        <v>22.3</v>
      </c>
      <c r="E422" s="4">
        <f>IFERROR(VLOOKUP(B422,GiaCuoc!$A$2:$C$6,3,FALSE),"Kiểm tra mã dịch vụ")</f>
        <v/>
      </c>
      <c r="F422" s="2">
        <f>IF(E422="Kiểm tra mã dịch vụ","Cần kiểm tra","Đã tra cước")</f>
        <v/>
      </c>
      <c r="G422" s="5" t="n">
        <v>46320</v>
      </c>
    </row>
    <row r="423">
      <c r="A423" s="2" t="inlineStr">
        <is>
          <t>FM000422</t>
        </is>
      </c>
      <c r="B423" s="2" t="inlineStr">
        <is>
          <t>FM-NGOAITHANH</t>
        </is>
      </c>
      <c r="C423" s="2" t="inlineStr">
        <is>
          <t>Ngoại thành</t>
        </is>
      </c>
      <c r="D423" s="3" t="n">
        <v>23.6</v>
      </c>
      <c r="E423" s="4">
        <f>IFERROR(VLOOKUP(B423,GiaCuoc!$A$2:$C$6,3,FALSE),"Kiểm tra mã dịch vụ")</f>
        <v/>
      </c>
      <c r="F423" s="2">
        <f>IF(E423="Kiểm tra mã dịch vụ","Cần kiểm tra","Đã tra cước")</f>
        <v/>
      </c>
      <c r="G423" s="5" t="n">
        <v>46319</v>
      </c>
    </row>
    <row r="424">
      <c r="A424" s="2" t="inlineStr">
        <is>
          <t>FM000423</t>
        </is>
      </c>
      <c r="B424" s="2" t="inlineStr">
        <is>
          <t>FM-LIENMIEN</t>
        </is>
      </c>
      <c r="C424" s="2" t="inlineStr">
        <is>
          <t>Liên miền</t>
        </is>
      </c>
      <c r="D424" s="3" t="n">
        <v>24.9</v>
      </c>
      <c r="E424" s="4">
        <f>IFERROR(VLOOKUP(B424,GiaCuoc!$A$2:$C$6,3,FALSE),"Kiểm tra mã dịch vụ")</f>
        <v/>
      </c>
      <c r="F424" s="2">
        <f>IF(E424="Kiểm tra mã dịch vụ","Cần kiểm tra","Đã tra cước")</f>
        <v/>
      </c>
      <c r="G424" s="5" t="n">
        <v>46318</v>
      </c>
    </row>
    <row r="425">
      <c r="A425" s="2" t="inlineStr">
        <is>
          <t>FM000424</t>
        </is>
      </c>
      <c r="B425" s="2" t="inlineStr">
        <is>
          <t>FM-HOATOC</t>
        </is>
      </c>
      <c r="C425" s="2" t="inlineStr">
        <is>
          <t>Hỏa tốc</t>
        </is>
      </c>
      <c r="D425" s="3" t="n">
        <v>1.2</v>
      </c>
      <c r="E425" s="4">
        <f>IFERROR(VLOOKUP(B425,GiaCuoc!$A$2:$C$6,3,FALSE),"Kiểm tra mã dịch vụ")</f>
        <v/>
      </c>
      <c r="F425" s="2">
        <f>IF(E425="Kiểm tra mã dịch vụ","Cần kiểm tra","Đã tra cước")</f>
        <v/>
      </c>
      <c r="G425" s="5" t="n">
        <v>46317</v>
      </c>
    </row>
    <row r="426">
      <c r="A426" s="2" t="inlineStr">
        <is>
          <t>FM000425</t>
        </is>
      </c>
      <c r="B426" s="2" t="inlineStr">
        <is>
          <t>FM-TIETKIEM</t>
        </is>
      </c>
      <c r="C426" s="2" t="inlineStr">
        <is>
          <t>Tiết kiệm</t>
        </is>
      </c>
      <c r="D426" s="3" t="n">
        <v>2.5</v>
      </c>
      <c r="E426" s="4">
        <f>IFERROR(VLOOKUP(B426,GiaCuoc!$A$2:$C$6,3,FALSE),"Kiểm tra mã dịch vụ")</f>
        <v/>
      </c>
      <c r="F426" s="2">
        <f>IF(E426="Kiểm tra mã dịch vụ","Cần kiểm tra","Đã tra cước")</f>
        <v/>
      </c>
      <c r="G426" s="5" t="n">
        <v>46316</v>
      </c>
    </row>
    <row r="427">
      <c r="A427" s="2" t="inlineStr">
        <is>
          <t>FM000426</t>
        </is>
      </c>
      <c r="B427" s="2" t="inlineStr">
        <is>
          <t>FM-NOIBAI</t>
        </is>
      </c>
      <c r="C427" s="2" t="inlineStr">
        <is>
          <t>Nội thành</t>
        </is>
      </c>
      <c r="D427" s="3" t="n">
        <v>3.8</v>
      </c>
      <c r="E427" s="4">
        <f>IFERROR(VLOOKUP(B427,GiaCuoc!$A$2:$C$6,3,FALSE),"Kiểm tra mã dịch vụ")</f>
        <v/>
      </c>
      <c r="F427" s="2">
        <f>IF(E427="Kiểm tra mã dịch vụ","Cần kiểm tra","Đã tra cước")</f>
        <v/>
      </c>
      <c r="G427" s="5" t="n">
        <v>46315</v>
      </c>
    </row>
    <row r="428">
      <c r="A428" s="2" t="inlineStr">
        <is>
          <t>FM000427</t>
        </is>
      </c>
      <c r="B428" s="2" t="inlineStr">
        <is>
          <t>FM-NGOAITHANH</t>
        </is>
      </c>
      <c r="C428" s="2" t="inlineStr">
        <is>
          <t>Ngoại thành</t>
        </is>
      </c>
      <c r="D428" s="3" t="n">
        <v>5.1</v>
      </c>
      <c r="E428" s="4">
        <f>IFERROR(VLOOKUP(B428,GiaCuoc!$A$2:$C$6,3,FALSE),"Kiểm tra mã dịch vụ")</f>
        <v/>
      </c>
      <c r="F428" s="2">
        <f>IF(E428="Kiểm tra mã dịch vụ","Cần kiểm tra","Đã tra cước")</f>
        <v/>
      </c>
      <c r="G428" s="5" t="n">
        <v>46314</v>
      </c>
    </row>
    <row r="429">
      <c r="A429" s="2" t="inlineStr">
        <is>
          <t>FM000428</t>
        </is>
      </c>
      <c r="B429" s="2" t="inlineStr">
        <is>
          <t>FM-LIENMIEN</t>
        </is>
      </c>
      <c r="C429" s="2" t="inlineStr">
        <is>
          <t>Liên miền</t>
        </is>
      </c>
      <c r="D429" s="3" t="n">
        <v>6.4</v>
      </c>
      <c r="E429" s="4">
        <f>IFERROR(VLOOKUP(B429,GiaCuoc!$A$2:$C$6,3,FALSE),"Kiểm tra mã dịch vụ")</f>
        <v/>
      </c>
      <c r="F429" s="2">
        <f>IF(E429="Kiểm tra mã dịch vụ","Cần kiểm tra","Đã tra cước")</f>
        <v/>
      </c>
      <c r="G429" s="5" t="n">
        <v>46313</v>
      </c>
    </row>
    <row r="430">
      <c r="A430" s="2" t="inlineStr">
        <is>
          <t>FM000429</t>
        </is>
      </c>
      <c r="B430" s="2" t="inlineStr">
        <is>
          <t>FM-HOATOC</t>
        </is>
      </c>
      <c r="C430" s="2" t="inlineStr">
        <is>
          <t>Hỏa tốc</t>
        </is>
      </c>
      <c r="D430" s="3" t="n">
        <v>7.7</v>
      </c>
      <c r="E430" s="4">
        <f>IFERROR(VLOOKUP(B430,GiaCuoc!$A$2:$C$6,3,FALSE),"Kiểm tra mã dịch vụ")</f>
        <v/>
      </c>
      <c r="F430" s="2">
        <f>IF(E430="Kiểm tra mã dịch vụ","Cần kiểm tra","Đã tra cước")</f>
        <v/>
      </c>
      <c r="G430" s="5" t="n">
        <v>46312</v>
      </c>
    </row>
    <row r="431">
      <c r="A431" s="2" t="inlineStr">
        <is>
          <t>FM000430</t>
        </is>
      </c>
      <c r="B431" s="2" t="inlineStr">
        <is>
          <t>FM-TIETKIEM</t>
        </is>
      </c>
      <c r="C431" s="2" t="inlineStr">
        <is>
          <t>Tiết kiệm</t>
        </is>
      </c>
      <c r="D431" s="3" t="n">
        <v>9</v>
      </c>
      <c r="E431" s="4">
        <f>IFERROR(VLOOKUP(B431,GiaCuoc!$A$2:$C$6,3,FALSE),"Kiểm tra mã dịch vụ")</f>
        <v/>
      </c>
      <c r="F431" s="2">
        <f>IF(E431="Kiểm tra mã dịch vụ","Cần kiểm tra","Đã tra cước")</f>
        <v/>
      </c>
      <c r="G431" s="5" t="n">
        <v>46311</v>
      </c>
    </row>
    <row r="432">
      <c r="A432" s="2" t="inlineStr">
        <is>
          <t>FM000431</t>
        </is>
      </c>
      <c r="B432" s="2" t="inlineStr">
        <is>
          <t>FM-NOIBAI</t>
        </is>
      </c>
      <c r="C432" s="2" t="inlineStr">
        <is>
          <t>Nội thành</t>
        </is>
      </c>
      <c r="D432" s="3" t="n">
        <v>10.3</v>
      </c>
      <c r="E432" s="4">
        <f>IFERROR(VLOOKUP(B432,GiaCuoc!$A$2:$C$6,3,FALSE),"Kiểm tra mã dịch vụ")</f>
        <v/>
      </c>
      <c r="F432" s="2">
        <f>IF(E432="Kiểm tra mã dịch vụ","Cần kiểm tra","Đã tra cước")</f>
        <v/>
      </c>
      <c r="G432" s="5" t="n">
        <v>46310</v>
      </c>
    </row>
    <row r="433">
      <c r="A433" s="2" t="inlineStr">
        <is>
          <t>FM000432</t>
        </is>
      </c>
      <c r="B433" s="2" t="inlineStr">
        <is>
          <t>FM-NGOAITHANH</t>
        </is>
      </c>
      <c r="C433" s="2" t="inlineStr">
        <is>
          <t>Ngoại thành</t>
        </is>
      </c>
      <c r="D433" s="3" t="n">
        <v>11.6</v>
      </c>
      <c r="E433" s="4">
        <f>IFERROR(VLOOKUP(B433,GiaCuoc!$A$2:$C$6,3,FALSE),"Kiểm tra mã dịch vụ")</f>
        <v/>
      </c>
      <c r="F433" s="2">
        <f>IF(E433="Kiểm tra mã dịch vụ","Cần kiểm tra","Đã tra cước")</f>
        <v/>
      </c>
      <c r="G433" s="5" t="n">
        <v>46309</v>
      </c>
    </row>
    <row r="434">
      <c r="A434" s="2" t="inlineStr">
        <is>
          <t>FM000433</t>
        </is>
      </c>
      <c r="B434" s="2" t="inlineStr">
        <is>
          <t>FM-LIENMIEN</t>
        </is>
      </c>
      <c r="C434" s="2" t="inlineStr">
        <is>
          <t>Liên miền</t>
        </is>
      </c>
      <c r="D434" s="3" t="n">
        <v>12.9</v>
      </c>
      <c r="E434" s="4">
        <f>IFERROR(VLOOKUP(B434,GiaCuoc!$A$2:$C$6,3,FALSE),"Kiểm tra mã dịch vụ")</f>
        <v/>
      </c>
      <c r="F434" s="2">
        <f>IF(E434="Kiểm tra mã dịch vụ","Cần kiểm tra","Đã tra cước")</f>
        <v/>
      </c>
      <c r="G434" s="5" t="n">
        <v>46308</v>
      </c>
    </row>
    <row r="435">
      <c r="A435" s="2" t="inlineStr">
        <is>
          <t>FM000434</t>
        </is>
      </c>
      <c r="B435" s="2" t="inlineStr">
        <is>
          <t>FM-HOATOC</t>
        </is>
      </c>
      <c r="C435" s="2" t="inlineStr">
        <is>
          <t>Hỏa tốc</t>
        </is>
      </c>
      <c r="D435" s="3" t="n">
        <v>14.2</v>
      </c>
      <c r="E435" s="4">
        <f>IFERROR(VLOOKUP(B435,GiaCuoc!$A$2:$C$6,3,FALSE),"Kiểm tra mã dịch vụ")</f>
        <v/>
      </c>
      <c r="F435" s="2">
        <f>IF(E435="Kiểm tra mã dịch vụ","Cần kiểm tra","Đã tra cước")</f>
        <v/>
      </c>
      <c r="G435" s="5" t="n">
        <v>46307</v>
      </c>
    </row>
    <row r="436">
      <c r="A436" s="2" t="inlineStr">
        <is>
          <t>FM000435</t>
        </is>
      </c>
      <c r="B436" s="2" t="inlineStr">
        <is>
          <t>FM-TIETKIEM</t>
        </is>
      </c>
      <c r="C436" s="2" t="inlineStr">
        <is>
          <t>Tiết kiệm</t>
        </is>
      </c>
      <c r="D436" s="3" t="n">
        <v>15.5</v>
      </c>
      <c r="E436" s="4">
        <f>IFERROR(VLOOKUP(B436,GiaCuoc!$A$2:$C$6,3,FALSE),"Kiểm tra mã dịch vụ")</f>
        <v/>
      </c>
      <c r="F436" s="2">
        <f>IF(E436="Kiểm tra mã dịch vụ","Cần kiểm tra","Đã tra cước")</f>
        <v/>
      </c>
      <c r="G436" s="5" t="n">
        <v>46306</v>
      </c>
    </row>
    <row r="437">
      <c r="A437" s="2" t="inlineStr">
        <is>
          <t>FM000436</t>
        </is>
      </c>
      <c r="B437" s="2" t="inlineStr">
        <is>
          <t>FM-NOIBAI</t>
        </is>
      </c>
      <c r="C437" s="2" t="inlineStr">
        <is>
          <t>Nội thành</t>
        </is>
      </c>
      <c r="D437" s="3" t="n">
        <v>16.8</v>
      </c>
      <c r="E437" s="4">
        <f>IFERROR(VLOOKUP(B437,GiaCuoc!$A$2:$C$6,3,FALSE),"Kiểm tra mã dịch vụ")</f>
        <v/>
      </c>
      <c r="F437" s="2">
        <f>IF(E437="Kiểm tra mã dịch vụ","Cần kiểm tra","Đã tra cước")</f>
        <v/>
      </c>
      <c r="G437" s="5" t="n">
        <v>46305</v>
      </c>
    </row>
    <row r="438">
      <c r="A438" s="2" t="inlineStr">
        <is>
          <t>FM000437</t>
        </is>
      </c>
      <c r="B438" s="2" t="inlineStr">
        <is>
          <t>FM-NGOAITHANH</t>
        </is>
      </c>
      <c r="C438" s="2" t="inlineStr">
        <is>
          <t>Ngoại thành</t>
        </is>
      </c>
      <c r="D438" s="3" t="n">
        <v>18.1</v>
      </c>
      <c r="E438" s="4">
        <f>IFERROR(VLOOKUP(B438,GiaCuoc!$A$2:$C$6,3,FALSE),"Kiểm tra mã dịch vụ")</f>
        <v/>
      </c>
      <c r="F438" s="2">
        <f>IF(E438="Kiểm tra mã dịch vụ","Cần kiểm tra","Đã tra cước")</f>
        <v/>
      </c>
      <c r="G438" s="5" t="n">
        <v>46304</v>
      </c>
    </row>
    <row r="439">
      <c r="A439" s="2" t="inlineStr">
        <is>
          <t>FM000438</t>
        </is>
      </c>
      <c r="B439" s="2" t="inlineStr">
        <is>
          <t>FM-LIENMIEN</t>
        </is>
      </c>
      <c r="C439" s="2" t="inlineStr">
        <is>
          <t>Liên miền</t>
        </is>
      </c>
      <c r="D439" s="3" t="n">
        <v>19.4</v>
      </c>
      <c r="E439" s="4">
        <f>IFERROR(VLOOKUP(B439,GiaCuoc!$A$2:$C$6,3,FALSE),"Kiểm tra mã dịch vụ")</f>
        <v/>
      </c>
      <c r="F439" s="2">
        <f>IF(E439="Kiểm tra mã dịch vụ","Cần kiểm tra","Đã tra cước")</f>
        <v/>
      </c>
      <c r="G439" s="5" t="n">
        <v>46303</v>
      </c>
    </row>
    <row r="440">
      <c r="A440" s="2" t="inlineStr">
        <is>
          <t>FM000439</t>
        </is>
      </c>
      <c r="B440" s="2" t="inlineStr">
        <is>
          <t>FM-HOATOC</t>
        </is>
      </c>
      <c r="C440" s="2" t="inlineStr">
        <is>
          <t>Hỏa tốc</t>
        </is>
      </c>
      <c r="D440" s="3" t="n">
        <v>20.7</v>
      </c>
      <c r="E440" s="4">
        <f>IFERROR(VLOOKUP(B440,GiaCuoc!$A$2:$C$6,3,FALSE),"Kiểm tra mã dịch vụ")</f>
        <v/>
      </c>
      <c r="F440" s="2">
        <f>IF(E440="Kiểm tra mã dịch vụ","Cần kiểm tra","Đã tra cước")</f>
        <v/>
      </c>
      <c r="G440" s="5" t="n">
        <v>46302</v>
      </c>
    </row>
    <row r="441">
      <c r="A441" s="2" t="inlineStr">
        <is>
          <t>FM000440</t>
        </is>
      </c>
      <c r="B441" s="2" t="inlineStr">
        <is>
          <t>FM-TIETKIEM</t>
        </is>
      </c>
      <c r="C441" s="2" t="inlineStr">
        <is>
          <t>Tiết kiệm</t>
        </is>
      </c>
      <c r="D441" s="3" t="n">
        <v>22</v>
      </c>
      <c r="E441" s="4">
        <f>IFERROR(VLOOKUP(B441,GiaCuoc!$A$2:$C$6,3,FALSE),"Kiểm tra mã dịch vụ")</f>
        <v/>
      </c>
      <c r="F441" s="2">
        <f>IF(E441="Kiểm tra mã dịch vụ","Cần kiểm tra","Đã tra cước")</f>
        <v/>
      </c>
      <c r="G441" s="5" t="n">
        <v>46301</v>
      </c>
    </row>
    <row r="442">
      <c r="A442" s="2" t="inlineStr">
        <is>
          <t>FM000441</t>
        </is>
      </c>
      <c r="B442" s="2" t="inlineStr">
        <is>
          <t>FM-NOIBAI</t>
        </is>
      </c>
      <c r="C442" s="2" t="inlineStr">
        <is>
          <t>Nội thành</t>
        </is>
      </c>
      <c r="D442" s="3" t="n">
        <v>23.3</v>
      </c>
      <c r="E442" s="4">
        <f>IFERROR(VLOOKUP(B442,GiaCuoc!$A$2:$C$6,3,FALSE),"Kiểm tra mã dịch vụ")</f>
        <v/>
      </c>
      <c r="F442" s="2">
        <f>IF(E442="Kiểm tra mã dịch vụ","Cần kiểm tra","Đã tra cước")</f>
        <v/>
      </c>
      <c r="G442" s="5" t="n">
        <v>46300</v>
      </c>
    </row>
    <row r="443">
      <c r="A443" s="2" t="inlineStr">
        <is>
          <t>FM000442</t>
        </is>
      </c>
      <c r="B443" s="2" t="inlineStr">
        <is>
          <t>FM-NGOAITHANH</t>
        </is>
      </c>
      <c r="C443" s="2" t="inlineStr">
        <is>
          <t>Ngoại thành</t>
        </is>
      </c>
      <c r="D443" s="3" t="n">
        <v>24.6</v>
      </c>
      <c r="E443" s="4">
        <f>IFERROR(VLOOKUP(B443,GiaCuoc!$A$2:$C$6,3,FALSE),"Kiểm tra mã dịch vụ")</f>
        <v/>
      </c>
      <c r="F443" s="2">
        <f>IF(E443="Kiểm tra mã dịch vụ","Cần kiểm tra","Đã tra cước")</f>
        <v/>
      </c>
      <c r="G443" s="5" t="n">
        <v>46299</v>
      </c>
    </row>
    <row r="444">
      <c r="A444" s="2" t="inlineStr">
        <is>
          <t>FM000443</t>
        </is>
      </c>
      <c r="B444" s="2" t="inlineStr">
        <is>
          <t>FM-LIENMIEN</t>
        </is>
      </c>
      <c r="C444" s="2" t="inlineStr">
        <is>
          <t>Liên miền</t>
        </is>
      </c>
      <c r="D444" s="3" t="n">
        <v>0.9</v>
      </c>
      <c r="E444" s="4">
        <f>IFERROR(VLOOKUP(B444,GiaCuoc!$A$2:$C$6,3,FALSE),"Kiểm tra mã dịch vụ")</f>
        <v/>
      </c>
      <c r="F444" s="2">
        <f>IF(E444="Kiểm tra mã dịch vụ","Cần kiểm tra","Đã tra cước")</f>
        <v/>
      </c>
      <c r="G444" s="5" t="n">
        <v>46298</v>
      </c>
    </row>
    <row r="445">
      <c r="A445" s="2" t="inlineStr">
        <is>
          <t>FM000444</t>
        </is>
      </c>
      <c r="B445" s="2" t="inlineStr">
        <is>
          <t>FM-HOATOC</t>
        </is>
      </c>
      <c r="C445" s="2" t="inlineStr">
        <is>
          <t>Hỏa tốc</t>
        </is>
      </c>
      <c r="D445" s="3" t="n">
        <v>2.2</v>
      </c>
      <c r="E445" s="4">
        <f>IFERROR(VLOOKUP(B445,GiaCuoc!$A$2:$C$6,3,FALSE),"Kiểm tra mã dịch vụ")</f>
        <v/>
      </c>
      <c r="F445" s="2">
        <f>IF(E445="Kiểm tra mã dịch vụ","Cần kiểm tra","Đã tra cước")</f>
        <v/>
      </c>
      <c r="G445" s="5" t="n">
        <v>46297</v>
      </c>
    </row>
    <row r="446">
      <c r="A446" s="2" t="inlineStr">
        <is>
          <t>FM000445</t>
        </is>
      </c>
      <c r="B446" s="2" t="inlineStr">
        <is>
          <t>FM-TIETKIEM</t>
        </is>
      </c>
      <c r="C446" s="2" t="inlineStr">
        <is>
          <t>Tiết kiệm</t>
        </is>
      </c>
      <c r="D446" s="3" t="n">
        <v>3.5</v>
      </c>
      <c r="E446" s="4">
        <f>IFERROR(VLOOKUP(B446,GiaCuoc!$A$2:$C$6,3,FALSE),"Kiểm tra mã dịch vụ")</f>
        <v/>
      </c>
      <c r="F446" s="2">
        <f>IF(E446="Kiểm tra mã dịch vụ","Cần kiểm tra","Đã tra cước")</f>
        <v/>
      </c>
      <c r="G446" s="5" t="n">
        <v>46296</v>
      </c>
    </row>
    <row r="447">
      <c r="A447" s="2" t="inlineStr">
        <is>
          <t>FM000446</t>
        </is>
      </c>
      <c r="B447" s="2" t="inlineStr">
        <is>
          <t>FM-NOIBAI</t>
        </is>
      </c>
      <c r="C447" s="2" t="inlineStr">
        <is>
          <t>Nội thành</t>
        </is>
      </c>
      <c r="D447" s="3" t="n">
        <v>4.8</v>
      </c>
      <c r="E447" s="4">
        <f>IFERROR(VLOOKUP(B447,GiaCuoc!$A$2:$C$6,3,FALSE),"Kiểm tra mã dịch vụ")</f>
        <v/>
      </c>
      <c r="F447" s="2">
        <f>IF(E447="Kiểm tra mã dịch vụ","Cần kiểm tra","Đã tra cước")</f>
        <v/>
      </c>
      <c r="G447" s="5" t="n">
        <v>46295</v>
      </c>
    </row>
    <row r="448">
      <c r="A448" s="2" t="inlineStr">
        <is>
          <t>FM000447</t>
        </is>
      </c>
      <c r="B448" s="2" t="inlineStr">
        <is>
          <t>FM-NGOAITHANH</t>
        </is>
      </c>
      <c r="C448" s="2" t="inlineStr">
        <is>
          <t>Ngoại thành</t>
        </is>
      </c>
      <c r="D448" s="3" t="n">
        <v>6.1</v>
      </c>
      <c r="E448" s="4">
        <f>IFERROR(VLOOKUP(B448,GiaCuoc!$A$2:$C$6,3,FALSE),"Kiểm tra mã dịch vụ")</f>
        <v/>
      </c>
      <c r="F448" s="2">
        <f>IF(E448="Kiểm tra mã dịch vụ","Cần kiểm tra","Đã tra cước")</f>
        <v/>
      </c>
      <c r="G448" s="5" t="n">
        <v>46294</v>
      </c>
    </row>
    <row r="449">
      <c r="A449" s="2" t="inlineStr">
        <is>
          <t>FM000448</t>
        </is>
      </c>
      <c r="B449" s="2" t="inlineStr">
        <is>
          <t>FM-LIENMIEN</t>
        </is>
      </c>
      <c r="C449" s="2" t="inlineStr">
        <is>
          <t>Liên miền</t>
        </is>
      </c>
      <c r="D449" s="3" t="n">
        <v>7.4</v>
      </c>
      <c r="E449" s="4">
        <f>IFERROR(VLOOKUP(B449,GiaCuoc!$A$2:$C$6,3,FALSE),"Kiểm tra mã dịch vụ")</f>
        <v/>
      </c>
      <c r="F449" s="2">
        <f>IF(E449="Kiểm tra mã dịch vụ","Cần kiểm tra","Đã tra cước")</f>
        <v/>
      </c>
      <c r="G449" s="5" t="n">
        <v>46293</v>
      </c>
    </row>
    <row r="450">
      <c r="A450" s="2" t="inlineStr">
        <is>
          <t>FM000449</t>
        </is>
      </c>
      <c r="B450" s="2" t="inlineStr">
        <is>
          <t>FM-HOATOC</t>
        </is>
      </c>
      <c r="C450" s="2" t="inlineStr">
        <is>
          <t>Hỏa tốc</t>
        </is>
      </c>
      <c r="D450" s="3" t="n">
        <v>8.699999999999999</v>
      </c>
      <c r="E450" s="4">
        <f>IFERROR(VLOOKUP(B450,GiaCuoc!$A$2:$C$6,3,FALSE),"Kiểm tra mã dịch vụ")</f>
        <v/>
      </c>
      <c r="F450" s="2">
        <f>IF(E450="Kiểm tra mã dịch vụ","Cần kiểm tra","Đã tra cước")</f>
        <v/>
      </c>
      <c r="G450" s="5" t="n">
        <v>46292</v>
      </c>
    </row>
    <row r="451">
      <c r="A451" s="2" t="inlineStr">
        <is>
          <t>FM000450</t>
        </is>
      </c>
      <c r="B451" s="2" t="inlineStr">
        <is>
          <t>FM-TIETKIEM</t>
        </is>
      </c>
      <c r="C451" s="2" t="inlineStr">
        <is>
          <t>Tiết kiệm</t>
        </is>
      </c>
      <c r="D451" s="3" t="n">
        <v>10</v>
      </c>
      <c r="E451" s="4">
        <f>IFERROR(VLOOKUP(B451,GiaCuoc!$A$2:$C$6,3,FALSE),"Kiểm tra mã dịch vụ")</f>
        <v/>
      </c>
      <c r="F451" s="2">
        <f>IF(E451="Kiểm tra mã dịch vụ","Cần kiểm tra","Đã tra cước")</f>
        <v/>
      </c>
      <c r="G451" s="5" t="n">
        <v>46321</v>
      </c>
    </row>
    <row r="452">
      <c r="A452" s="2" t="inlineStr">
        <is>
          <t>FM000451</t>
        </is>
      </c>
      <c r="B452" s="2" t="inlineStr">
        <is>
          <t>FM-NOIBAI</t>
        </is>
      </c>
      <c r="C452" s="2" t="inlineStr">
        <is>
          <t>Nội thành</t>
        </is>
      </c>
      <c r="D452" s="3" t="n">
        <v>11.3</v>
      </c>
      <c r="E452" s="4">
        <f>IFERROR(VLOOKUP(B452,GiaCuoc!$A$2:$C$6,3,FALSE),"Kiểm tra mã dịch vụ")</f>
        <v/>
      </c>
      <c r="F452" s="2">
        <f>IF(E452="Kiểm tra mã dịch vụ","Cần kiểm tra","Đã tra cước")</f>
        <v/>
      </c>
      <c r="G452" s="5" t="n">
        <v>46320</v>
      </c>
    </row>
    <row r="453">
      <c r="A453" s="2" t="inlineStr">
        <is>
          <t>FM000452</t>
        </is>
      </c>
      <c r="B453" s="2" t="inlineStr">
        <is>
          <t>FM-NGOAITHANH</t>
        </is>
      </c>
      <c r="C453" s="2" t="inlineStr">
        <is>
          <t>Ngoại thành</t>
        </is>
      </c>
      <c r="D453" s="3" t="n">
        <v>12.6</v>
      </c>
      <c r="E453" s="4">
        <f>IFERROR(VLOOKUP(B453,GiaCuoc!$A$2:$C$6,3,FALSE),"Kiểm tra mã dịch vụ")</f>
        <v/>
      </c>
      <c r="F453" s="2">
        <f>IF(E453="Kiểm tra mã dịch vụ","Cần kiểm tra","Đã tra cước")</f>
        <v/>
      </c>
      <c r="G453" s="5" t="n">
        <v>46319</v>
      </c>
    </row>
    <row r="454">
      <c r="A454" s="2" t="inlineStr">
        <is>
          <t>FM000453</t>
        </is>
      </c>
      <c r="B454" s="2" t="inlineStr">
        <is>
          <t>FM-LIENMIEN</t>
        </is>
      </c>
      <c r="C454" s="2" t="inlineStr">
        <is>
          <t>Liên miền</t>
        </is>
      </c>
      <c r="D454" s="3" t="n">
        <v>13.9</v>
      </c>
      <c r="E454" s="4">
        <f>IFERROR(VLOOKUP(B454,GiaCuoc!$A$2:$C$6,3,FALSE),"Kiểm tra mã dịch vụ")</f>
        <v/>
      </c>
      <c r="F454" s="2">
        <f>IF(E454="Kiểm tra mã dịch vụ","Cần kiểm tra","Đã tra cước")</f>
        <v/>
      </c>
      <c r="G454" s="5" t="n">
        <v>46318</v>
      </c>
    </row>
    <row r="455">
      <c r="A455" s="2" t="inlineStr">
        <is>
          <t>FM000454</t>
        </is>
      </c>
      <c r="B455" s="2" t="inlineStr">
        <is>
          <t>FM-HOATOC</t>
        </is>
      </c>
      <c r="C455" s="2" t="inlineStr">
        <is>
          <t>Hỏa tốc</t>
        </is>
      </c>
      <c r="D455" s="3" t="n">
        <v>15.2</v>
      </c>
      <c r="E455" s="4">
        <f>IFERROR(VLOOKUP(B455,GiaCuoc!$A$2:$C$6,3,FALSE),"Kiểm tra mã dịch vụ")</f>
        <v/>
      </c>
      <c r="F455" s="2">
        <f>IF(E455="Kiểm tra mã dịch vụ","Cần kiểm tra","Đã tra cước")</f>
        <v/>
      </c>
      <c r="G455" s="5" t="n">
        <v>46317</v>
      </c>
    </row>
    <row r="456">
      <c r="A456" s="2" t="inlineStr">
        <is>
          <t>FM000455</t>
        </is>
      </c>
      <c r="B456" s="2" t="inlineStr">
        <is>
          <t>FM-TIETKIEM</t>
        </is>
      </c>
      <c r="C456" s="2" t="inlineStr">
        <is>
          <t>Tiết kiệm</t>
        </is>
      </c>
      <c r="D456" s="3" t="n">
        <v>16.5</v>
      </c>
      <c r="E456" s="4">
        <f>IFERROR(VLOOKUP(B456,GiaCuoc!$A$2:$C$6,3,FALSE),"Kiểm tra mã dịch vụ")</f>
        <v/>
      </c>
      <c r="F456" s="2">
        <f>IF(E456="Kiểm tra mã dịch vụ","Cần kiểm tra","Đã tra cước")</f>
        <v/>
      </c>
      <c r="G456" s="5" t="n">
        <v>46316</v>
      </c>
    </row>
    <row r="457">
      <c r="A457" s="2" t="inlineStr">
        <is>
          <t>FM000456</t>
        </is>
      </c>
      <c r="B457" s="2" t="inlineStr">
        <is>
          <t>FM-NOIBAI</t>
        </is>
      </c>
      <c r="C457" s="2" t="inlineStr">
        <is>
          <t>Nội thành</t>
        </is>
      </c>
      <c r="D457" s="3" t="n">
        <v>17.8</v>
      </c>
      <c r="E457" s="4">
        <f>IFERROR(VLOOKUP(B457,GiaCuoc!$A$2:$C$6,3,FALSE),"Kiểm tra mã dịch vụ")</f>
        <v/>
      </c>
      <c r="F457" s="2">
        <f>IF(E457="Kiểm tra mã dịch vụ","Cần kiểm tra","Đã tra cước")</f>
        <v/>
      </c>
      <c r="G457" s="5" t="n">
        <v>46315</v>
      </c>
    </row>
    <row r="458">
      <c r="A458" s="2" t="inlineStr">
        <is>
          <t>FM000457</t>
        </is>
      </c>
      <c r="B458" s="2" t="inlineStr">
        <is>
          <t>FM-NGOAITHANH</t>
        </is>
      </c>
      <c r="C458" s="2" t="inlineStr">
        <is>
          <t>Ngoại thành</t>
        </is>
      </c>
      <c r="D458" s="3" t="n">
        <v>19.1</v>
      </c>
      <c r="E458" s="4">
        <f>IFERROR(VLOOKUP(B458,GiaCuoc!$A$2:$C$6,3,FALSE),"Kiểm tra mã dịch vụ")</f>
        <v/>
      </c>
      <c r="F458" s="2">
        <f>IF(E458="Kiểm tra mã dịch vụ","Cần kiểm tra","Đã tra cước")</f>
        <v/>
      </c>
      <c r="G458" s="5" t="n">
        <v>46314</v>
      </c>
    </row>
    <row r="459">
      <c r="A459" s="2" t="inlineStr">
        <is>
          <t>FM000458</t>
        </is>
      </c>
      <c r="B459" s="2" t="inlineStr">
        <is>
          <t>FM-LIENMIEN</t>
        </is>
      </c>
      <c r="C459" s="2" t="inlineStr">
        <is>
          <t>Liên miền</t>
        </is>
      </c>
      <c r="D459" s="3" t="n">
        <v>20.4</v>
      </c>
      <c r="E459" s="4">
        <f>IFERROR(VLOOKUP(B459,GiaCuoc!$A$2:$C$6,3,FALSE),"Kiểm tra mã dịch vụ")</f>
        <v/>
      </c>
      <c r="F459" s="2">
        <f>IF(E459="Kiểm tra mã dịch vụ","Cần kiểm tra","Đã tra cước")</f>
        <v/>
      </c>
      <c r="G459" s="5" t="n">
        <v>46313</v>
      </c>
    </row>
    <row r="460">
      <c r="A460" s="2" t="inlineStr">
        <is>
          <t>FM000459</t>
        </is>
      </c>
      <c r="B460" s="2" t="inlineStr">
        <is>
          <t>FM-HOATOC</t>
        </is>
      </c>
      <c r="C460" s="2" t="inlineStr">
        <is>
          <t>Hỏa tốc</t>
        </is>
      </c>
      <c r="D460" s="3" t="n">
        <v>21.7</v>
      </c>
      <c r="E460" s="4">
        <f>IFERROR(VLOOKUP(B460,GiaCuoc!$A$2:$C$6,3,FALSE),"Kiểm tra mã dịch vụ")</f>
        <v/>
      </c>
      <c r="F460" s="2">
        <f>IF(E460="Kiểm tra mã dịch vụ","Cần kiểm tra","Đã tra cước")</f>
        <v/>
      </c>
      <c r="G460" s="5" t="n">
        <v>46312</v>
      </c>
    </row>
    <row r="461">
      <c r="A461" s="2" t="inlineStr">
        <is>
          <t>FM000460</t>
        </is>
      </c>
      <c r="B461" s="2" t="inlineStr">
        <is>
          <t>FM-TIETKIEM</t>
        </is>
      </c>
      <c r="C461" s="2" t="inlineStr">
        <is>
          <t>Tiết kiệm</t>
        </is>
      </c>
      <c r="D461" s="3" t="n">
        <v>23</v>
      </c>
      <c r="E461" s="4">
        <f>IFERROR(VLOOKUP(B461,GiaCuoc!$A$2:$C$6,3,FALSE),"Kiểm tra mã dịch vụ")</f>
        <v/>
      </c>
      <c r="F461" s="2">
        <f>IF(E461="Kiểm tra mã dịch vụ","Cần kiểm tra","Đã tra cước")</f>
        <v/>
      </c>
      <c r="G461" s="5" t="n">
        <v>46311</v>
      </c>
    </row>
    <row r="462">
      <c r="A462" s="2" t="inlineStr">
        <is>
          <t>FM000461</t>
        </is>
      </c>
      <c r="B462" s="2" t="inlineStr">
        <is>
          <t>FM-NOIBAI</t>
        </is>
      </c>
      <c r="C462" s="2" t="inlineStr">
        <is>
          <t>Nội thành</t>
        </is>
      </c>
      <c r="D462" s="3" t="n">
        <v>24.3</v>
      </c>
      <c r="E462" s="4">
        <f>IFERROR(VLOOKUP(B462,GiaCuoc!$A$2:$C$6,3,FALSE),"Kiểm tra mã dịch vụ")</f>
        <v/>
      </c>
      <c r="F462" s="2">
        <f>IF(E462="Kiểm tra mã dịch vụ","Cần kiểm tra","Đã tra cước")</f>
        <v/>
      </c>
      <c r="G462" s="5" t="n">
        <v>46310</v>
      </c>
    </row>
    <row r="463">
      <c r="A463" s="2" t="inlineStr">
        <is>
          <t>FM000462</t>
        </is>
      </c>
      <c r="B463" s="2" t="inlineStr">
        <is>
          <t>FM-NGOAITHANH</t>
        </is>
      </c>
      <c r="C463" s="2" t="inlineStr">
        <is>
          <t>Ngoại thành</t>
        </is>
      </c>
      <c r="D463" s="3" t="n">
        <v>0.6</v>
      </c>
      <c r="E463" s="4">
        <f>IFERROR(VLOOKUP(B463,GiaCuoc!$A$2:$C$6,3,FALSE),"Kiểm tra mã dịch vụ")</f>
        <v/>
      </c>
      <c r="F463" s="2">
        <f>IF(E463="Kiểm tra mã dịch vụ","Cần kiểm tra","Đã tra cước")</f>
        <v/>
      </c>
      <c r="G463" s="5" t="n">
        <v>46309</v>
      </c>
    </row>
    <row r="464">
      <c r="A464" s="2" t="inlineStr">
        <is>
          <t>FM000463</t>
        </is>
      </c>
      <c r="B464" s="2" t="inlineStr">
        <is>
          <t>FM-LIENMIEN</t>
        </is>
      </c>
      <c r="C464" s="2" t="inlineStr">
        <is>
          <t>Liên miền</t>
        </is>
      </c>
      <c r="D464" s="3" t="n">
        <v>1.9</v>
      </c>
      <c r="E464" s="4">
        <f>IFERROR(VLOOKUP(B464,GiaCuoc!$A$2:$C$6,3,FALSE),"Kiểm tra mã dịch vụ")</f>
        <v/>
      </c>
      <c r="F464" s="2">
        <f>IF(E464="Kiểm tra mã dịch vụ","Cần kiểm tra","Đã tra cước")</f>
        <v/>
      </c>
      <c r="G464" s="5" t="n">
        <v>46308</v>
      </c>
    </row>
    <row r="465">
      <c r="A465" s="2" t="inlineStr">
        <is>
          <t>FM000464</t>
        </is>
      </c>
      <c r="B465" s="2" t="inlineStr">
        <is>
          <t>FM-HOATOC</t>
        </is>
      </c>
      <c r="C465" s="2" t="inlineStr">
        <is>
          <t>Hỏa tốc</t>
        </is>
      </c>
      <c r="D465" s="3" t="n">
        <v>3.2</v>
      </c>
      <c r="E465" s="4">
        <f>IFERROR(VLOOKUP(B465,GiaCuoc!$A$2:$C$6,3,FALSE),"Kiểm tra mã dịch vụ")</f>
        <v/>
      </c>
      <c r="F465" s="2">
        <f>IF(E465="Kiểm tra mã dịch vụ","Cần kiểm tra","Đã tra cước")</f>
        <v/>
      </c>
      <c r="G465" s="5" t="n">
        <v>46307</v>
      </c>
    </row>
    <row r="466">
      <c r="A466" s="2" t="inlineStr">
        <is>
          <t>FM000465</t>
        </is>
      </c>
      <c r="B466" s="2" t="inlineStr">
        <is>
          <t>FM-TIETKIEM</t>
        </is>
      </c>
      <c r="C466" s="2" t="inlineStr">
        <is>
          <t>Tiết kiệm</t>
        </is>
      </c>
      <c r="D466" s="3" t="n">
        <v>4.5</v>
      </c>
      <c r="E466" s="4">
        <f>IFERROR(VLOOKUP(B466,GiaCuoc!$A$2:$C$6,3,FALSE),"Kiểm tra mã dịch vụ")</f>
        <v/>
      </c>
      <c r="F466" s="2">
        <f>IF(E466="Kiểm tra mã dịch vụ","Cần kiểm tra","Đã tra cước")</f>
        <v/>
      </c>
      <c r="G466" s="5" t="n">
        <v>46306</v>
      </c>
    </row>
    <row r="467">
      <c r="A467" s="2" t="inlineStr">
        <is>
          <t>FM000466</t>
        </is>
      </c>
      <c r="B467" s="2" t="inlineStr">
        <is>
          <t>FM-NOIBAI</t>
        </is>
      </c>
      <c r="C467" s="2" t="inlineStr">
        <is>
          <t>Nội thành</t>
        </is>
      </c>
      <c r="D467" s="3" t="n">
        <v>5.8</v>
      </c>
      <c r="E467" s="4">
        <f>IFERROR(VLOOKUP(B467,GiaCuoc!$A$2:$C$6,3,FALSE),"Kiểm tra mã dịch vụ")</f>
        <v/>
      </c>
      <c r="F467" s="2">
        <f>IF(E467="Kiểm tra mã dịch vụ","Cần kiểm tra","Đã tra cước")</f>
        <v/>
      </c>
      <c r="G467" s="5" t="n">
        <v>46305</v>
      </c>
    </row>
    <row r="468">
      <c r="A468" s="2" t="inlineStr">
        <is>
          <t>FM000467</t>
        </is>
      </c>
      <c r="B468" s="2" t="inlineStr">
        <is>
          <t>FM-NGOAITHANH</t>
        </is>
      </c>
      <c r="C468" s="2" t="inlineStr">
        <is>
          <t>Ngoại thành</t>
        </is>
      </c>
      <c r="D468" s="3" t="n">
        <v>7.1</v>
      </c>
      <c r="E468" s="4">
        <f>IFERROR(VLOOKUP(B468,GiaCuoc!$A$2:$C$6,3,FALSE),"Kiểm tra mã dịch vụ")</f>
        <v/>
      </c>
      <c r="F468" s="2">
        <f>IF(E468="Kiểm tra mã dịch vụ","Cần kiểm tra","Đã tra cước")</f>
        <v/>
      </c>
      <c r="G468" s="5" t="n">
        <v>46304</v>
      </c>
    </row>
    <row r="469">
      <c r="A469" s="2" t="inlineStr">
        <is>
          <t>FM000468</t>
        </is>
      </c>
      <c r="B469" s="2" t="inlineStr">
        <is>
          <t>FM-LIENMIEN</t>
        </is>
      </c>
      <c r="C469" s="2" t="inlineStr">
        <is>
          <t>Liên miền</t>
        </is>
      </c>
      <c r="D469" s="3" t="n">
        <v>8.4</v>
      </c>
      <c r="E469" s="4">
        <f>IFERROR(VLOOKUP(B469,GiaCuoc!$A$2:$C$6,3,FALSE),"Kiểm tra mã dịch vụ")</f>
        <v/>
      </c>
      <c r="F469" s="2">
        <f>IF(E469="Kiểm tra mã dịch vụ","Cần kiểm tra","Đã tra cước")</f>
        <v/>
      </c>
      <c r="G469" s="5" t="n">
        <v>46303</v>
      </c>
    </row>
    <row r="470">
      <c r="A470" s="2" t="inlineStr">
        <is>
          <t>FM000469</t>
        </is>
      </c>
      <c r="B470" s="2" t="inlineStr">
        <is>
          <t>FM-HOATOC</t>
        </is>
      </c>
      <c r="C470" s="2" t="inlineStr">
        <is>
          <t>Hỏa tốc</t>
        </is>
      </c>
      <c r="D470" s="3" t="n">
        <v>9.699999999999999</v>
      </c>
      <c r="E470" s="4">
        <f>IFERROR(VLOOKUP(B470,GiaCuoc!$A$2:$C$6,3,FALSE),"Kiểm tra mã dịch vụ")</f>
        <v/>
      </c>
      <c r="F470" s="2">
        <f>IF(E470="Kiểm tra mã dịch vụ","Cần kiểm tra","Đã tra cước")</f>
        <v/>
      </c>
      <c r="G470" s="5" t="n">
        <v>46302</v>
      </c>
    </row>
    <row r="471">
      <c r="A471" s="2" t="inlineStr">
        <is>
          <t>FM000470</t>
        </is>
      </c>
      <c r="B471" s="2" t="inlineStr">
        <is>
          <t>FM-TIETKIEM</t>
        </is>
      </c>
      <c r="C471" s="2" t="inlineStr">
        <is>
          <t>Tiết kiệm</t>
        </is>
      </c>
      <c r="D471" s="3" t="n">
        <v>11</v>
      </c>
      <c r="E471" s="4">
        <f>IFERROR(VLOOKUP(B471,GiaCuoc!$A$2:$C$6,3,FALSE),"Kiểm tra mã dịch vụ")</f>
        <v/>
      </c>
      <c r="F471" s="2">
        <f>IF(E471="Kiểm tra mã dịch vụ","Cần kiểm tra","Đã tra cước")</f>
        <v/>
      </c>
      <c r="G471" s="5" t="n">
        <v>46301</v>
      </c>
    </row>
    <row r="472">
      <c r="A472" s="2" t="inlineStr">
        <is>
          <t>FM000471</t>
        </is>
      </c>
      <c r="B472" s="2" t="inlineStr">
        <is>
          <t>FM-NOIBAI</t>
        </is>
      </c>
      <c r="C472" s="2" t="inlineStr">
        <is>
          <t>Nội thành</t>
        </is>
      </c>
      <c r="D472" s="3" t="n">
        <v>12.3</v>
      </c>
      <c r="E472" s="4">
        <f>IFERROR(VLOOKUP(B472,GiaCuoc!$A$2:$C$6,3,FALSE),"Kiểm tra mã dịch vụ")</f>
        <v/>
      </c>
      <c r="F472" s="2">
        <f>IF(E472="Kiểm tra mã dịch vụ","Cần kiểm tra","Đã tra cước")</f>
        <v/>
      </c>
      <c r="G472" s="5" t="n">
        <v>46300</v>
      </c>
    </row>
    <row r="473">
      <c r="A473" s="2" t="inlineStr">
        <is>
          <t>FM000472</t>
        </is>
      </c>
      <c r="B473" s="2" t="inlineStr">
        <is>
          <t>FM-NGOAITHANH</t>
        </is>
      </c>
      <c r="C473" s="2" t="inlineStr">
        <is>
          <t>Ngoại thành</t>
        </is>
      </c>
      <c r="D473" s="3" t="n">
        <v>13.6</v>
      </c>
      <c r="E473" s="4">
        <f>IFERROR(VLOOKUP(B473,GiaCuoc!$A$2:$C$6,3,FALSE),"Kiểm tra mã dịch vụ")</f>
        <v/>
      </c>
      <c r="F473" s="2">
        <f>IF(E473="Kiểm tra mã dịch vụ","Cần kiểm tra","Đã tra cước")</f>
        <v/>
      </c>
      <c r="G473" s="5" t="n">
        <v>46299</v>
      </c>
    </row>
    <row r="474">
      <c r="A474" s="2" t="inlineStr">
        <is>
          <t>FM000473</t>
        </is>
      </c>
      <c r="B474" s="2" t="inlineStr">
        <is>
          <t>FM-LIENMIEN</t>
        </is>
      </c>
      <c r="C474" s="2" t="inlineStr">
        <is>
          <t>Liên miền</t>
        </is>
      </c>
      <c r="D474" s="3" t="n">
        <v>14.9</v>
      </c>
      <c r="E474" s="4">
        <f>IFERROR(VLOOKUP(B474,GiaCuoc!$A$2:$C$6,3,FALSE),"Kiểm tra mã dịch vụ")</f>
        <v/>
      </c>
      <c r="F474" s="2">
        <f>IF(E474="Kiểm tra mã dịch vụ","Cần kiểm tra","Đã tra cước")</f>
        <v/>
      </c>
      <c r="G474" s="5" t="n">
        <v>46298</v>
      </c>
    </row>
    <row r="475">
      <c r="A475" s="2" t="inlineStr">
        <is>
          <t>FM000474</t>
        </is>
      </c>
      <c r="B475" s="2" t="inlineStr">
        <is>
          <t>FM-HOATOC</t>
        </is>
      </c>
      <c r="C475" s="2" t="inlineStr">
        <is>
          <t>Hỏa tốc</t>
        </is>
      </c>
      <c r="D475" s="3" t="n">
        <v>16.2</v>
      </c>
      <c r="E475" s="4">
        <f>IFERROR(VLOOKUP(B475,GiaCuoc!$A$2:$C$6,3,FALSE),"Kiểm tra mã dịch vụ")</f>
        <v/>
      </c>
      <c r="F475" s="2">
        <f>IF(E475="Kiểm tra mã dịch vụ","Cần kiểm tra","Đã tra cước")</f>
        <v/>
      </c>
      <c r="G475" s="5" t="n">
        <v>46297</v>
      </c>
    </row>
    <row r="476">
      <c r="A476" s="2" t="inlineStr">
        <is>
          <t>FM000475</t>
        </is>
      </c>
      <c r="B476" s="2" t="inlineStr">
        <is>
          <t>FM-TIETKIEM</t>
        </is>
      </c>
      <c r="C476" s="2" t="inlineStr">
        <is>
          <t>Tiết kiệm</t>
        </is>
      </c>
      <c r="D476" s="3" t="n">
        <v>17.5</v>
      </c>
      <c r="E476" s="4">
        <f>IFERROR(VLOOKUP(B476,GiaCuoc!$A$2:$C$6,3,FALSE),"Kiểm tra mã dịch vụ")</f>
        <v/>
      </c>
      <c r="F476" s="2">
        <f>IF(E476="Kiểm tra mã dịch vụ","Cần kiểm tra","Đã tra cước")</f>
        <v/>
      </c>
      <c r="G476" s="5" t="n">
        <v>46296</v>
      </c>
    </row>
    <row r="477">
      <c r="A477" s="2" t="inlineStr">
        <is>
          <t>FM000476</t>
        </is>
      </c>
      <c r="B477" s="2" t="inlineStr">
        <is>
          <t>FM-NOIBAI</t>
        </is>
      </c>
      <c r="C477" s="2" t="inlineStr">
        <is>
          <t>Nội thành</t>
        </is>
      </c>
      <c r="D477" s="3" t="n">
        <v>18.8</v>
      </c>
      <c r="E477" s="4">
        <f>IFERROR(VLOOKUP(B477,GiaCuoc!$A$2:$C$6,3,FALSE),"Kiểm tra mã dịch vụ")</f>
        <v/>
      </c>
      <c r="F477" s="2">
        <f>IF(E477="Kiểm tra mã dịch vụ","Cần kiểm tra","Đã tra cước")</f>
        <v/>
      </c>
      <c r="G477" s="5" t="n">
        <v>46295</v>
      </c>
    </row>
    <row r="478">
      <c r="A478" s="2" t="inlineStr">
        <is>
          <t>FM000477</t>
        </is>
      </c>
      <c r="B478" s="2" t="inlineStr">
        <is>
          <t>FM-NGOAITHANH</t>
        </is>
      </c>
      <c r="C478" s="2" t="inlineStr">
        <is>
          <t>Ngoại thành</t>
        </is>
      </c>
      <c r="D478" s="3" t="n">
        <v>20.1</v>
      </c>
      <c r="E478" s="4">
        <f>IFERROR(VLOOKUP(B478,GiaCuoc!$A$2:$C$6,3,FALSE),"Kiểm tra mã dịch vụ")</f>
        <v/>
      </c>
      <c r="F478" s="2">
        <f>IF(E478="Kiểm tra mã dịch vụ","Cần kiểm tra","Đã tra cước")</f>
        <v/>
      </c>
      <c r="G478" s="5" t="n">
        <v>46294</v>
      </c>
    </row>
    <row r="479">
      <c r="A479" s="2" t="inlineStr">
        <is>
          <t>FM000478</t>
        </is>
      </c>
      <c r="B479" s="2" t="inlineStr">
        <is>
          <t>FM-LIENMIEN</t>
        </is>
      </c>
      <c r="C479" s="2" t="inlineStr">
        <is>
          <t>Liên miền</t>
        </is>
      </c>
      <c r="D479" s="3" t="n">
        <v>21.4</v>
      </c>
      <c r="E479" s="4">
        <f>IFERROR(VLOOKUP(B479,GiaCuoc!$A$2:$C$6,3,FALSE),"Kiểm tra mã dịch vụ")</f>
        <v/>
      </c>
      <c r="F479" s="2">
        <f>IF(E479="Kiểm tra mã dịch vụ","Cần kiểm tra","Đã tra cước")</f>
        <v/>
      </c>
      <c r="G479" s="5" t="n">
        <v>46293</v>
      </c>
    </row>
    <row r="480">
      <c r="A480" s="2" t="inlineStr">
        <is>
          <t>FM000479</t>
        </is>
      </c>
      <c r="B480" s="2" t="inlineStr">
        <is>
          <t>FM-HOATOC</t>
        </is>
      </c>
      <c r="C480" s="2" t="inlineStr">
        <is>
          <t>Hỏa tốc</t>
        </is>
      </c>
      <c r="D480" s="3" t="n">
        <v>22.7</v>
      </c>
      <c r="E480" s="4">
        <f>IFERROR(VLOOKUP(B480,GiaCuoc!$A$2:$C$6,3,FALSE),"Kiểm tra mã dịch vụ")</f>
        <v/>
      </c>
      <c r="F480" s="2">
        <f>IF(E480="Kiểm tra mã dịch vụ","Cần kiểm tra","Đã tra cước")</f>
        <v/>
      </c>
      <c r="G480" s="5" t="n">
        <v>46292</v>
      </c>
    </row>
    <row r="481">
      <c r="A481" s="2" t="inlineStr">
        <is>
          <t>FM000480</t>
        </is>
      </c>
      <c r="B481" s="2" t="inlineStr">
        <is>
          <t>FM-TIETKIEM</t>
        </is>
      </c>
      <c r="C481" s="2" t="inlineStr">
        <is>
          <t>Tiết kiệm</t>
        </is>
      </c>
      <c r="D481" s="3" t="n">
        <v>24</v>
      </c>
      <c r="E481" s="4">
        <f>IFERROR(VLOOKUP(B481,GiaCuoc!$A$2:$C$6,3,FALSE),"Kiểm tra mã dịch vụ")</f>
        <v/>
      </c>
      <c r="F481" s="2">
        <f>IF(E481="Kiểm tra mã dịch vụ","Cần kiểm tra","Đã tra cước")</f>
        <v/>
      </c>
      <c r="G481" s="5" t="n">
        <v>46321</v>
      </c>
    </row>
    <row r="482">
      <c r="A482" s="2" t="inlineStr">
        <is>
          <t>FM000481</t>
        </is>
      </c>
      <c r="B482" s="2" t="inlineStr">
        <is>
          <t>FM-NOIBAI</t>
        </is>
      </c>
      <c r="C482" s="2" t="inlineStr">
        <is>
          <t>Nội thành</t>
        </is>
      </c>
      <c r="D482" s="3" t="n">
        <v>0.3</v>
      </c>
      <c r="E482" s="4">
        <f>IFERROR(VLOOKUP(B482,GiaCuoc!$A$2:$C$6,3,FALSE),"Kiểm tra mã dịch vụ")</f>
        <v/>
      </c>
      <c r="F482" s="2">
        <f>IF(E482="Kiểm tra mã dịch vụ","Cần kiểm tra","Đã tra cước")</f>
        <v/>
      </c>
      <c r="G482" s="5" t="n">
        <v>46320</v>
      </c>
    </row>
    <row r="483">
      <c r="A483" s="2" t="inlineStr">
        <is>
          <t>FM000482</t>
        </is>
      </c>
      <c r="B483" s="2" t="inlineStr">
        <is>
          <t>FM-NGOAITHANH</t>
        </is>
      </c>
      <c r="C483" s="2" t="inlineStr">
        <is>
          <t>Ngoại thành</t>
        </is>
      </c>
      <c r="D483" s="3" t="n">
        <v>1.6</v>
      </c>
      <c r="E483" s="4">
        <f>IFERROR(VLOOKUP(B483,GiaCuoc!$A$2:$C$6,3,FALSE),"Kiểm tra mã dịch vụ")</f>
        <v/>
      </c>
      <c r="F483" s="2">
        <f>IF(E483="Kiểm tra mã dịch vụ","Cần kiểm tra","Đã tra cước")</f>
        <v/>
      </c>
      <c r="G483" s="5" t="n">
        <v>46319</v>
      </c>
    </row>
    <row r="484">
      <c r="A484" s="2" t="inlineStr">
        <is>
          <t>FM000483</t>
        </is>
      </c>
      <c r="B484" s="2" t="inlineStr">
        <is>
          <t>FM-LIENMIEN</t>
        </is>
      </c>
      <c r="C484" s="2" t="inlineStr">
        <is>
          <t>Liên miền</t>
        </is>
      </c>
      <c r="D484" s="3" t="n">
        <v>2.9</v>
      </c>
      <c r="E484" s="4">
        <f>IFERROR(VLOOKUP(B484,GiaCuoc!$A$2:$C$6,3,FALSE),"Kiểm tra mã dịch vụ")</f>
        <v/>
      </c>
      <c r="F484" s="2">
        <f>IF(E484="Kiểm tra mã dịch vụ","Cần kiểm tra","Đã tra cước")</f>
        <v/>
      </c>
      <c r="G484" s="5" t="n">
        <v>46318</v>
      </c>
    </row>
    <row r="485">
      <c r="A485" s="2" t="inlineStr">
        <is>
          <t>FM000484</t>
        </is>
      </c>
      <c r="B485" s="2" t="inlineStr">
        <is>
          <t>FM-HOATOC</t>
        </is>
      </c>
      <c r="C485" s="2" t="inlineStr">
        <is>
          <t>Hỏa tốc</t>
        </is>
      </c>
      <c r="D485" s="3" t="n">
        <v>4.2</v>
      </c>
      <c r="E485" s="4">
        <f>IFERROR(VLOOKUP(B485,GiaCuoc!$A$2:$C$6,3,FALSE),"Kiểm tra mã dịch vụ")</f>
        <v/>
      </c>
      <c r="F485" s="2">
        <f>IF(E485="Kiểm tra mã dịch vụ","Cần kiểm tra","Đã tra cước")</f>
        <v/>
      </c>
      <c r="G485" s="5" t="n">
        <v>46317</v>
      </c>
    </row>
    <row r="486">
      <c r="A486" s="2" t="inlineStr">
        <is>
          <t>FM000485</t>
        </is>
      </c>
      <c r="B486" s="2" t="inlineStr">
        <is>
          <t>FM-TIETKIEM</t>
        </is>
      </c>
      <c r="C486" s="2" t="inlineStr">
        <is>
          <t>Tiết kiệm</t>
        </is>
      </c>
      <c r="D486" s="3" t="n">
        <v>5.5</v>
      </c>
      <c r="E486" s="4">
        <f>IFERROR(VLOOKUP(B486,GiaCuoc!$A$2:$C$6,3,FALSE),"Kiểm tra mã dịch vụ")</f>
        <v/>
      </c>
      <c r="F486" s="2">
        <f>IF(E486="Kiểm tra mã dịch vụ","Cần kiểm tra","Đã tra cước")</f>
        <v/>
      </c>
      <c r="G486" s="5" t="n">
        <v>46316</v>
      </c>
    </row>
    <row r="487">
      <c r="A487" s="2" t="inlineStr">
        <is>
          <t>FM000486</t>
        </is>
      </c>
      <c r="B487" s="2" t="inlineStr">
        <is>
          <t>FM-NOIBAI</t>
        </is>
      </c>
      <c r="C487" s="2" t="inlineStr">
        <is>
          <t>Nội thành</t>
        </is>
      </c>
      <c r="D487" s="3" t="n">
        <v>6.8</v>
      </c>
      <c r="E487" s="4">
        <f>IFERROR(VLOOKUP(B487,GiaCuoc!$A$2:$C$6,3,FALSE),"Kiểm tra mã dịch vụ")</f>
        <v/>
      </c>
      <c r="F487" s="2">
        <f>IF(E487="Kiểm tra mã dịch vụ","Cần kiểm tra","Đã tra cước")</f>
        <v/>
      </c>
      <c r="G487" s="5" t="n">
        <v>46315</v>
      </c>
    </row>
    <row r="488">
      <c r="A488" s="2" t="inlineStr">
        <is>
          <t>FM000487</t>
        </is>
      </c>
      <c r="B488" s="2" t="inlineStr">
        <is>
          <t>FM-NGOAITHANH</t>
        </is>
      </c>
      <c r="C488" s="2" t="inlineStr">
        <is>
          <t>Ngoại thành</t>
        </is>
      </c>
      <c r="D488" s="3" t="n">
        <v>8.1</v>
      </c>
      <c r="E488" s="4">
        <f>IFERROR(VLOOKUP(B488,GiaCuoc!$A$2:$C$6,3,FALSE),"Kiểm tra mã dịch vụ")</f>
        <v/>
      </c>
      <c r="F488" s="2">
        <f>IF(E488="Kiểm tra mã dịch vụ","Cần kiểm tra","Đã tra cước")</f>
        <v/>
      </c>
      <c r="G488" s="5" t="n">
        <v>46314</v>
      </c>
    </row>
    <row r="489">
      <c r="A489" s="2" t="inlineStr">
        <is>
          <t>FM000488</t>
        </is>
      </c>
      <c r="B489" s="2" t="inlineStr">
        <is>
          <t>FM-LIENMIEN</t>
        </is>
      </c>
      <c r="C489" s="2" t="inlineStr">
        <is>
          <t>Liên miền</t>
        </is>
      </c>
      <c r="D489" s="3" t="n">
        <v>9.4</v>
      </c>
      <c r="E489" s="4">
        <f>IFERROR(VLOOKUP(B489,GiaCuoc!$A$2:$C$6,3,FALSE),"Kiểm tra mã dịch vụ")</f>
        <v/>
      </c>
      <c r="F489" s="2">
        <f>IF(E489="Kiểm tra mã dịch vụ","Cần kiểm tra","Đã tra cước")</f>
        <v/>
      </c>
      <c r="G489" s="5" t="n">
        <v>46313</v>
      </c>
    </row>
    <row r="490">
      <c r="A490" s="2" t="inlineStr">
        <is>
          <t>FM000489</t>
        </is>
      </c>
      <c r="B490" s="2" t="inlineStr">
        <is>
          <t>FM-HOATOC</t>
        </is>
      </c>
      <c r="C490" s="2" t="inlineStr">
        <is>
          <t>Hỏa tốc</t>
        </is>
      </c>
      <c r="D490" s="3" t="n">
        <v>10.7</v>
      </c>
      <c r="E490" s="4">
        <f>IFERROR(VLOOKUP(B490,GiaCuoc!$A$2:$C$6,3,FALSE),"Kiểm tra mã dịch vụ")</f>
        <v/>
      </c>
      <c r="F490" s="2">
        <f>IF(E490="Kiểm tra mã dịch vụ","Cần kiểm tra","Đã tra cước")</f>
        <v/>
      </c>
      <c r="G490" s="5" t="n">
        <v>46312</v>
      </c>
    </row>
    <row r="491">
      <c r="A491" s="2" t="inlineStr">
        <is>
          <t>FM000490</t>
        </is>
      </c>
      <c r="B491" s="2" t="inlineStr">
        <is>
          <t>FM-TIETKIEM</t>
        </is>
      </c>
      <c r="C491" s="2" t="inlineStr">
        <is>
          <t>Tiết kiệm</t>
        </is>
      </c>
      <c r="D491" s="3" t="n">
        <v>12</v>
      </c>
      <c r="E491" s="4">
        <f>IFERROR(VLOOKUP(B491,GiaCuoc!$A$2:$C$6,3,FALSE),"Kiểm tra mã dịch vụ")</f>
        <v/>
      </c>
      <c r="F491" s="2">
        <f>IF(E491="Kiểm tra mã dịch vụ","Cần kiểm tra","Đã tra cước")</f>
        <v/>
      </c>
      <c r="G491" s="5" t="n">
        <v>46311</v>
      </c>
    </row>
    <row r="492">
      <c r="A492" s="2" t="inlineStr">
        <is>
          <t>FM000491</t>
        </is>
      </c>
      <c r="B492" s="2" t="inlineStr">
        <is>
          <t>FM-NOIBAI</t>
        </is>
      </c>
      <c r="C492" s="2" t="inlineStr">
        <is>
          <t>Nội thành</t>
        </is>
      </c>
      <c r="D492" s="3" t="n">
        <v>13.3</v>
      </c>
      <c r="E492" s="4">
        <f>IFERROR(VLOOKUP(B492,GiaCuoc!$A$2:$C$6,3,FALSE),"Kiểm tra mã dịch vụ")</f>
        <v/>
      </c>
      <c r="F492" s="2">
        <f>IF(E492="Kiểm tra mã dịch vụ","Cần kiểm tra","Đã tra cước")</f>
        <v/>
      </c>
      <c r="G492" s="5" t="n">
        <v>46310</v>
      </c>
    </row>
    <row r="493">
      <c r="A493" s="2" t="inlineStr">
        <is>
          <t>FM000492</t>
        </is>
      </c>
      <c r="B493" s="2" t="inlineStr">
        <is>
          <t>FM-NGOAITHANH</t>
        </is>
      </c>
      <c r="C493" s="2" t="inlineStr">
        <is>
          <t>Ngoại thành</t>
        </is>
      </c>
      <c r="D493" s="3" t="n">
        <v>14.6</v>
      </c>
      <c r="E493" s="4">
        <f>IFERROR(VLOOKUP(B493,GiaCuoc!$A$2:$C$6,3,FALSE),"Kiểm tra mã dịch vụ")</f>
        <v/>
      </c>
      <c r="F493" s="2">
        <f>IF(E493="Kiểm tra mã dịch vụ","Cần kiểm tra","Đã tra cước")</f>
        <v/>
      </c>
      <c r="G493" s="5" t="n">
        <v>46309</v>
      </c>
    </row>
    <row r="494">
      <c r="A494" s="2" t="inlineStr">
        <is>
          <t>FM000493</t>
        </is>
      </c>
      <c r="B494" s="2" t="inlineStr">
        <is>
          <t>FM-LIENMIEN</t>
        </is>
      </c>
      <c r="C494" s="2" t="inlineStr">
        <is>
          <t>Liên miền</t>
        </is>
      </c>
      <c r="D494" s="3" t="n">
        <v>15.9</v>
      </c>
      <c r="E494" s="4">
        <f>IFERROR(VLOOKUP(B494,GiaCuoc!$A$2:$C$6,3,FALSE),"Kiểm tra mã dịch vụ")</f>
        <v/>
      </c>
      <c r="F494" s="2">
        <f>IF(E494="Kiểm tra mã dịch vụ","Cần kiểm tra","Đã tra cước")</f>
        <v/>
      </c>
      <c r="G494" s="5" t="n">
        <v>46308</v>
      </c>
    </row>
    <row r="495">
      <c r="A495" s="2" t="inlineStr">
        <is>
          <t>FM000494</t>
        </is>
      </c>
      <c r="B495" s="2" t="inlineStr">
        <is>
          <t>FM-HOATOC</t>
        </is>
      </c>
      <c r="C495" s="2" t="inlineStr">
        <is>
          <t>Hỏa tốc</t>
        </is>
      </c>
      <c r="D495" s="3" t="n">
        <v>17.2</v>
      </c>
      <c r="E495" s="4">
        <f>IFERROR(VLOOKUP(B495,GiaCuoc!$A$2:$C$6,3,FALSE),"Kiểm tra mã dịch vụ")</f>
        <v/>
      </c>
      <c r="F495" s="2">
        <f>IF(E495="Kiểm tra mã dịch vụ","Cần kiểm tra","Đã tra cước")</f>
        <v/>
      </c>
      <c r="G495" s="5" t="n">
        <v>46307</v>
      </c>
    </row>
    <row r="496">
      <c r="A496" s="2" t="inlineStr">
        <is>
          <t>FM000495</t>
        </is>
      </c>
      <c r="B496" s="2" t="inlineStr">
        <is>
          <t>FM-TIETKIEM</t>
        </is>
      </c>
      <c r="C496" s="2" t="inlineStr">
        <is>
          <t>Tiết kiệm</t>
        </is>
      </c>
      <c r="D496" s="3" t="n">
        <v>18.5</v>
      </c>
      <c r="E496" s="4">
        <f>IFERROR(VLOOKUP(B496,GiaCuoc!$A$2:$C$6,3,FALSE),"Kiểm tra mã dịch vụ")</f>
        <v/>
      </c>
      <c r="F496" s="2">
        <f>IF(E496="Kiểm tra mã dịch vụ","Cần kiểm tra","Đã tra cước")</f>
        <v/>
      </c>
      <c r="G496" s="5" t="n">
        <v>46306</v>
      </c>
    </row>
    <row r="497">
      <c r="A497" s="2" t="inlineStr">
        <is>
          <t>FM000496</t>
        </is>
      </c>
      <c r="B497" s="2" t="inlineStr">
        <is>
          <t>FM-NOIBAI</t>
        </is>
      </c>
      <c r="C497" s="2" t="inlineStr">
        <is>
          <t>Nội thành</t>
        </is>
      </c>
      <c r="D497" s="3" t="n">
        <v>19.8</v>
      </c>
      <c r="E497" s="4">
        <f>IFERROR(VLOOKUP(B497,GiaCuoc!$A$2:$C$6,3,FALSE),"Kiểm tra mã dịch vụ")</f>
        <v/>
      </c>
      <c r="F497" s="2">
        <f>IF(E497="Kiểm tra mã dịch vụ","Cần kiểm tra","Đã tra cước")</f>
        <v/>
      </c>
      <c r="G497" s="5" t="n">
        <v>46305</v>
      </c>
    </row>
    <row r="498">
      <c r="A498" s="2" t="inlineStr">
        <is>
          <t>FM000497</t>
        </is>
      </c>
      <c r="B498" s="2" t="inlineStr">
        <is>
          <t>FM-NGOAITHANH</t>
        </is>
      </c>
      <c r="C498" s="2" t="inlineStr">
        <is>
          <t>Ngoại thành</t>
        </is>
      </c>
      <c r="D498" s="3" t="n">
        <v>21.1</v>
      </c>
      <c r="E498" s="4">
        <f>IFERROR(VLOOKUP(B498,GiaCuoc!$A$2:$C$6,3,FALSE),"Kiểm tra mã dịch vụ")</f>
        <v/>
      </c>
      <c r="F498" s="2">
        <f>IF(E498="Kiểm tra mã dịch vụ","Cần kiểm tra","Đã tra cước")</f>
        <v/>
      </c>
      <c r="G498" s="5" t="n">
        <v>46304</v>
      </c>
    </row>
    <row r="499">
      <c r="A499" s="2" t="inlineStr">
        <is>
          <t>FM000498</t>
        </is>
      </c>
      <c r="B499" s="2" t="inlineStr">
        <is>
          <t>FM-LIENMIEN</t>
        </is>
      </c>
      <c r="C499" s="2" t="inlineStr">
        <is>
          <t>Liên miền</t>
        </is>
      </c>
      <c r="D499" s="3" t="n">
        <v>22.4</v>
      </c>
      <c r="E499" s="4">
        <f>IFERROR(VLOOKUP(B499,GiaCuoc!$A$2:$C$6,3,FALSE),"Kiểm tra mã dịch vụ")</f>
        <v/>
      </c>
      <c r="F499" s="2">
        <f>IF(E499="Kiểm tra mã dịch vụ","Cần kiểm tra","Đã tra cước")</f>
        <v/>
      </c>
      <c r="G499" s="5" t="n">
        <v>46303</v>
      </c>
    </row>
    <row r="500">
      <c r="A500" s="2" t="inlineStr">
        <is>
          <t>FM000499</t>
        </is>
      </c>
      <c r="B500" s="2" t="inlineStr">
        <is>
          <t>FM-HOATOC</t>
        </is>
      </c>
      <c r="C500" s="2" t="inlineStr">
        <is>
          <t>Hỏa tốc</t>
        </is>
      </c>
      <c r="D500" s="3" t="n">
        <v>23.7</v>
      </c>
      <c r="E500" s="4">
        <f>IFERROR(VLOOKUP(B500,GiaCuoc!$A$2:$C$6,3,FALSE),"Kiểm tra mã dịch vụ")</f>
        <v/>
      </c>
      <c r="F500" s="2">
        <f>IF(E500="Kiểm tra mã dịch vụ","Cần kiểm tra","Đã tra cước")</f>
        <v/>
      </c>
      <c r="G500" s="5" t="n">
        <v>46302</v>
      </c>
    </row>
    <row r="501">
      <c r="A501" s="2" t="inlineStr">
        <is>
          <t>FM000500</t>
        </is>
      </c>
      <c r="B501" s="2" t="inlineStr">
        <is>
          <t>FM-TIETKIEM</t>
        </is>
      </c>
      <c r="C501" s="2" t="inlineStr">
        <is>
          <t>Tiết kiệm</t>
        </is>
      </c>
      <c r="D501" s="3" t="n">
        <v>0</v>
      </c>
      <c r="E501" s="4">
        <f>IFERROR(VLOOKUP(B501,GiaCuoc!$A$2:$C$6,3,FALSE),"Kiểm tra mã dịch vụ")</f>
        <v/>
      </c>
      <c r="F501" s="2">
        <f>IF(E501="Kiểm tra mã dịch vụ","Cần kiểm tra","Đã tra cước")</f>
        <v/>
      </c>
      <c r="G501" s="5" t="n">
        <v>46301</v>
      </c>
    </row>
  </sheetData>
  <autoFilter ref="A1:G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</cols>
  <sheetData>
    <row r="1">
      <c r="A1" s="6" t="inlineStr">
        <is>
          <t>Mã dịch vụ</t>
        </is>
      </c>
      <c r="B1" s="6" t="inlineStr">
        <is>
          <t>Tên dịch vụ</t>
        </is>
      </c>
      <c r="C1" s="6" t="inlineStr">
        <is>
          <t>Giá cước cơ bản (đ)</t>
        </is>
      </c>
    </row>
    <row r="2">
      <c r="A2" t="inlineStr">
        <is>
          <t>FM-NOIBAI</t>
        </is>
      </c>
      <c r="B2" t="inlineStr">
        <is>
          <t>Nội thành</t>
        </is>
      </c>
      <c r="C2" s="7" t="n">
        <v>18000</v>
      </c>
    </row>
    <row r="3">
      <c r="A3" t="inlineStr">
        <is>
          <t>FM-NGOAITHANH</t>
        </is>
      </c>
      <c r="B3" t="inlineStr">
        <is>
          <t>Ngoại thành</t>
        </is>
      </c>
      <c r="C3" s="7" t="n">
        <v>26000</v>
      </c>
    </row>
    <row r="4">
      <c r="A4" t="inlineStr">
        <is>
          <t>FM-LIENMIEN</t>
        </is>
      </c>
      <c r="B4" t="inlineStr">
        <is>
          <t>Liên miền</t>
        </is>
      </c>
      <c r="C4" s="7" t="n">
        <v>42000</v>
      </c>
    </row>
    <row r="5">
      <c r="A5" t="inlineStr">
        <is>
          <t>FM-HOATOC</t>
        </is>
      </c>
      <c r="B5" t="inlineStr">
        <is>
          <t>Hỏa tốc</t>
        </is>
      </c>
      <c r="C5" s="7" t="n">
        <v>35000</v>
      </c>
    </row>
    <row r="6">
      <c r="A6" t="inlineStr">
        <is>
          <t>FM-TIETKIEM</t>
        </is>
      </c>
      <c r="B6" t="inlineStr">
        <is>
          <t>Tiết kiệm</t>
        </is>
      </c>
      <c r="C6" s="7" t="n">
        <v>15000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KPI giao hàng</t>
        </is>
      </c>
      <c r="B1" s="8" t="inlineStr">
        <is>
          <t>Kết quả (%)</t>
        </is>
      </c>
      <c r="C1" s="8" t="inlineStr">
        <is>
          <t>Mục tiêu (%)</t>
        </is>
      </c>
      <c r="D1" s="8" t="inlineStr">
        <is>
          <t>Chênh lệch</t>
        </is>
      </c>
    </row>
    <row r="2">
      <c r="A2" s="2" t="inlineStr">
        <is>
          <t>Giao đúng hẹn</t>
        </is>
      </c>
      <c r="B2" s="9" t="n">
        <v>92</v>
      </c>
      <c r="C2" s="10" t="n">
        <v>95</v>
      </c>
      <c r="D2" s="10" t="n">
        <v>-3</v>
      </c>
    </row>
    <row r="3">
      <c r="A3" s="2" t="inlineStr">
        <is>
          <t>Giao thành công lần đầu</t>
        </is>
      </c>
      <c r="B3" s="11" t="n">
        <v>88</v>
      </c>
      <c r="C3" s="10" t="n">
        <v>90</v>
      </c>
      <c r="D3" s="10" t="n">
        <v>-2</v>
      </c>
    </row>
    <row r="4">
      <c r="A4" s="2" t="inlineStr">
        <is>
          <t>Độ chính xác giá cước</t>
        </is>
      </c>
      <c r="B4" s="11" t="n">
        <v>97</v>
      </c>
      <c r="C4" s="10" t="n">
        <v>99</v>
      </c>
      <c r="D4" s="10" t="n">
        <v>-2</v>
      </c>
    </row>
    <row r="5">
      <c r="A5" s="2" t="inlineStr">
        <is>
          <t>Cập nhật trạng thái đúng</t>
        </is>
      </c>
      <c r="B5" s="11" t="n">
        <v>96</v>
      </c>
      <c r="C5" s="10" t="n">
        <v>98</v>
      </c>
      <c r="D5" s="10" t="n">
        <v>-2</v>
      </c>
    </row>
    <row r="6">
      <c r="A6" s="2" t="inlineStr">
        <is>
          <t>Xử lý ngoại lệ trong ngày</t>
        </is>
      </c>
      <c r="B6" s="11" t="n">
        <v>85</v>
      </c>
      <c r="C6" s="10" t="n">
        <v>90</v>
      </c>
      <c r="D6" s="10" t="n">
        <v>-5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2026-10-26T11:49:17Z</dcterms:created>
  <dcterms:modified xmlns:dcterms="http://purl.org/dc/terms/" xmlns:xsi="http://www.w3.org/2001/XMLSchema-instance" xsi:type="dcterms:W3CDTF">2026-10-26T11:49:18Z</dcterms:modified>
</cp:coreProperties>
</file>